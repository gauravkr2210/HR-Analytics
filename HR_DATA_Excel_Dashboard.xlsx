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alcChain.xml" ContentType="application/vnd.openxmlformats-officedocument.spreadsheetml.calcChain+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mc:AlternateContent xmlns:mc="http://schemas.openxmlformats.org/markup-compatibility/2006">
    <mc:Choice Requires="x15">
      <x15ac:absPath xmlns:x15ac="http://schemas.microsoft.com/office/spreadsheetml/2010/11/ac" url="C:\Users\DELL\Desktop\EXCEL PROJECT\DataTutorials\"/>
    </mc:Choice>
  </mc:AlternateContent>
  <xr:revisionPtr revIDLastSave="0" documentId="13_ncr:1_{E6B1A6AC-57FE-428D-BA04-8C73D2D98390}" xr6:coauthVersionLast="36" xr6:coauthVersionMax="36" xr10:uidLastSave="{00000000-0000-0000-0000-000000000000}"/>
  <bookViews>
    <workbookView xWindow="0" yWindow="0" windowWidth="20490" windowHeight="7545" firstSheet="6" activeTab="13" xr2:uid="{00000000-000D-0000-FFFF-FFFF00000000}"/>
  </bookViews>
  <sheets>
    <sheet name="KPI" sheetId="7" r:id="rId1"/>
    <sheet name="Rating" sheetId="8" r:id="rId2"/>
    <sheet name="Gender" sheetId="9" r:id="rId3"/>
    <sheet name="EducationByAttrition" sheetId="10" r:id="rId4"/>
    <sheet name="AttritionByJob" sheetId="11" r:id="rId5"/>
    <sheet name="DepartmentWiseAttrition" sheetId="12" r:id="rId6"/>
    <sheet name="AttritionByAgeGroup" sheetId="13" r:id="rId7"/>
    <sheet name="AttritionByMaritalStatus" sheetId="14" r:id="rId8"/>
    <sheet name="Data" sheetId="1" r:id="rId9"/>
    <sheet name="Images" sheetId="2" r:id="rId10"/>
    <sheet name="Background 1" sheetId="3" state="hidden" r:id="rId11"/>
    <sheet name="Background 2" sheetId="4" state="hidden" r:id="rId12"/>
    <sheet name="Background 3" sheetId="5" state="hidden" r:id="rId13"/>
    <sheet name="Dashboard" sheetId="6" r:id="rId14"/>
    <sheet name="EmployeeLookup" sheetId="15" r:id="rId25"/>
  </sheets>
  <definedNames>
    <definedName name="_xlchart.v1.0" hidden="1">AttritionByJob!$D$4:$D$12</definedName>
    <definedName name="_xlchart.v1.1" hidden="1">AttritionByJob!$E$4:$E$12</definedName>
    <definedName name="_xlchart.v1.5" hidden="1">AttritionByJob!$D$4:$D$12</definedName>
    <definedName name="_xlchart.v1.6" hidden="1">AttritionByJob!$E$4:$E$12</definedName>
    <definedName name="_xlchart.v2.10" hidden="1">AttritionByMaritalStatus!$D$4:$D$6</definedName>
    <definedName name="_xlchart.v2.11" hidden="1">AttritionByMaritalStatus!$E$3</definedName>
    <definedName name="_xlchart.v2.12" hidden="1">AttritionByMaritalStatus!$E$4:$E$6</definedName>
    <definedName name="_xlchart.v2.2" hidden="1">AttritionByMaritalStatus!$D$4:$D$6</definedName>
    <definedName name="_xlchart.v2.3" hidden="1">AttritionByMaritalStatus!$E$3</definedName>
    <definedName name="_xlchart.v2.4" hidden="1">AttritionByMaritalStatus!$E$4:$E$6</definedName>
    <definedName name="_xlchart.v2.7" hidden="1">AttritionByMaritalStatus!$D$4:$D$6</definedName>
    <definedName name="_xlchart.v2.8" hidden="1">AttritionByMaritalStatus!$E$3</definedName>
    <definedName name="_xlchart.v2.9" hidden="1">AttritionByMaritalStatus!$E$4:$E$6</definedName>
    <definedName name="Slicer_Department">#N/A</definedName>
    <definedName name="Slicer_Education_Field2">#N/A</definedName>
    <definedName name="Slicer_Gender1">#N/A</definedName>
  </definedNames>
  <calcPr calcId="191029"/>
  <pivotCaches>
    <pivotCache cacheId="14"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6" i="14" l="1"/>
  <c r="D5" i="14"/>
  <c r="D4" i="14"/>
  <c r="D5" i="11"/>
  <c r="D6" i="11"/>
  <c r="D7" i="11"/>
  <c r="D8" i="11"/>
  <c r="D9" i="11"/>
  <c r="D10" i="11"/>
  <c r="D11" i="11"/>
  <c r="D12" i="11"/>
  <c r="D4" i="11"/>
  <c r="E6" i="14"/>
  <c r="E5" i="14"/>
  <c r="E4" i="14"/>
  <c r="E5" i="11"/>
  <c r="E9" i="11"/>
  <c r="E6" i="11"/>
  <c r="E10" i="11"/>
  <c r="E7" i="11"/>
  <c r="E11" i="11"/>
  <c r="E8" i="11"/>
  <c r="E12" i="11"/>
  <c r="E4" i="11"/>
  <c r="C8" i="7"/>
  <c r="A8" i="7"/>
  <c r="B8" i="7"/>
  <c r="B10" i="9"/>
  <c r="B9" i="9"/>
  <c r="B7" i="8"/>
  <c r="D8" i="7" l="1"/>
  <c r="E8" i="7"/>
  <c r="C9" i="9"/>
  <c r="C10" i="9"/>
  <c r="B8" i="8"/>
  <c r="C8" i="8" s="1"/>
  <c r="C7" i="8"/>
  <c r="B11" i="15"/>
  <c r="C11" i="15"/>
  <c r="D11" i="15"/>
  <c r="B12" i="15"/>
  <c r="C12" i="15"/>
  <c r="D12" i="15"/>
  <c r="B13" i="15"/>
  <c r="C13" i="15"/>
  <c r="D13" i="15"/>
  <c r="B14" i="15"/>
  <c r="C14" i="15"/>
  <c r="D14" i="15"/>
  <c r="B3" i="15"/>
  <c r="B4" i="15"/>
  <c r="B5" i="15"/>
  <c r="B6" i="15"/>
  <c r="B7" i="15"/>
  <c r="B8" i="15"/>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<sst xmlns="http://schemas.openxmlformats.org/spreadsheetml/2006/main" count="19216" uniqueCount="1571">
  <si>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</si>
  <si>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</si>
  <si>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</si>
  <si>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</si>
  <si>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</si>
  <si>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</si>
  <si>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</si>
  <si>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</si>
  <si>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</si>
  <si>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</si>
  <si>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</si>
  <si>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</si>
  <si>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</si>
  <si>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</si>
  <si>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</si>
  <si>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</si>
  <si>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</si>
  <si>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</si>
  <si>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</si>
  <si>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</si>
  <si>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</si>
  <si>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</si>
  <si>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</si>
  <si>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</si>
  <si>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</si>
  <si>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</si>
  <si>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</si>
  <si>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</si>
  <si>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</si>
  <si>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</si>
  <si>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</si>
  <si>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</si>
  <si>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</si>
  <si>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</si>
  <si>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</si>
  <si>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</si>
  <si>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</si>
  <si>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</si>
  <si>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</si>
  <si>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</si>
  <si>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</si>
  <si>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</si>
  <si>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</si>
  <si>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</si>
  <si>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</si>
  <si>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</si>
  <si>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</si>
  <si>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</si>
  <si>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</si>
  <si>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</si>
  <si>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</si>
  <si>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</si>
  <si>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</si>
  <si>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</si>
  <si>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</si>
  <si>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</si>
  <si>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</si>
  <si>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</si>
  <si>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</si>
  <si>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</si>
  <si>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</si>
  <si>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</si>
  <si>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</si>
  <si>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</si>
  <si>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</si>
  <si>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</si>
  <si>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</si>
  <si>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</si>
  <si>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</si>
  <si>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</si>
  <si>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</si>
  <si>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</si>
  <si>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</si>
  <si>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</si>
  <si>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</si>
  <si>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</si>
  <si>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</si>
  <si>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</si>
  <si>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</si>
  <si>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</si>
  <si>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</si>
  <si>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</si>
  <si>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</si>
  <si>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</si>
  <si>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</si>
  <si>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</si>
  <si>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</si>
  <si>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</si>
  <si>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</si>
  <si>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</si>
  <si>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</si>
  <si>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</si>
  <si>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</si>
  <si>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</si>
  <si>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</si>
  <si>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</si>
  <si>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</si>
  <si>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</si>
  <si>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</si>
  <si>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</si>
  <si>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</si>
  <si>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</si>
  <si>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</si>
  <si>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</si>
  <si>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</si>
  <si>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</si>
  <si>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</si>
  <si>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</si>
  <si>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</si>
  <si>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</si>
  <si>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</si>
  <si>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</si>
  <si>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</si>
  <si>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</si>
  <si>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</si>
  <si>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</si>
  <si>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</si>
  <si>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</si>
  <si>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</si>
  <si>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</si>
  <si>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</si>
  <si>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</si>
  <si>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</si>
  <si>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</si>
  <si>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</si>
  <si>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</si>
  <si>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</si>
  <si>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</si>
  <si>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</si>
  <si>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</si>
  <si>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</si>
  <si>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</si>
  <si>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</si>
  <si>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</si>
  <si>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</si>
  <si>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</si>
  <si>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</si>
  <si>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</si>
  <si>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</si>
  <si>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</si>
  <si>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</si>
  <si>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</si>
  <si>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</si>
  <si>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</si>
  <si>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</si>
  <si>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</si>
  <si>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</si>
  <si>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</si>
  <si>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</si>
  <si>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</si>
  <si>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</si>
  <si>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</si>
  <si>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</si>
  <si>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</si>
  <si>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</si>
  <si>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</si>
  <si>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</si>
  <si>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</si>
  <si>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</si>
  <si>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</si>
  <si>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</si>
  <si>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</si>
  <si>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</si>
  <si>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</si>
  <si>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</si>
  <si>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</si>
  <si>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</si>
  <si>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</si>
  <si>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</si>
  <si>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</si>
  <si>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</si>
  <si>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</si>
  <si>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</si>
  <si>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</si>
  <si>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</si>
  <si>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</si>
  <si>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</si>
  <si>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</si>
  <si>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</si>
  <si>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</si>
  <si>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</si>
  <si>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</si>
  <si>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</si>
  <si>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</si>
  <si>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</si>
  <si>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</si>
  <si>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</si>
  <si>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</si>
  <si>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</si>
  <si>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</si>
  <si>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</si>
  <si>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</si>
  <si>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</si>
  <si>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</si>
  <si>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</si>
  <si>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</si>
  <si>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</si>
  <si>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</si>
  <si>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</si>
  <si>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</si>
  <si>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</si>
  <si>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</si>
  <si>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</si>
  <si>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</si>
  <si>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</si>
  <si>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</si>
  <si>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</si>
  <si>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</si>
  <si>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</si>
  <si>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</si>
  <si>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</si>
  <si>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</si>
  <si>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</si>
  <si>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</si>
  <si>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</si>
  <si>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</si>
  <si>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</si>
  <si>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</si>
  <si>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</si>
  <si>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</si>
  <si>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</si>
  <si>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</si>
  <si>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</si>
  <si>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</si>
  <si>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</si>
  <si>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</si>
  <si>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</si>
  <si>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</si>
  <si>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</si>
  <si>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</si>
  <si>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</si>
  <si>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</si>
  <si>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</si>
  <si>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</si>
  <si>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</si>
  <si>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</si>
  <si>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</si>
  <si>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</si>
  <si>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</si>
  <si>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</si>
  <si>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</si>
  <si>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</si>
  <si>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</si>
  <si>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</si>
  <si>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</si>
  <si>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</si>
  <si>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</si>
  <si>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</si>
  <si>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</si>
  <si>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</si>
  <si>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</si>
  <si>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</si>
  <si>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</si>
  <si>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</si>
  <si>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</si>
  <si>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</si>
  <si>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</si>
  <si>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</si>
  <si>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</si>
  <si>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</si>
  <si>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</si>
  <si>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</si>
  <si>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</si>
  <si>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</si>
  <si>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</si>
  <si>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</si>
  <si>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</si>
  <si>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</si>
  <si>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</si>
  <si>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</si>
  <si>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</si>
  <si>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</si>
  <si>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</si>
  <si>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</si>
  <si>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</si>
  <si>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</si>
  <si>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</si>
  <si>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</si>
  <si>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</si>
  <si>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</si>
  <si>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</si>
  <si>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</si>
  <si>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</si>
  <si>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</si>
  <si>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</si>
  <si>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</si>
  <si>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</si>
  <si>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</si>
  <si>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</si>
  <si>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</si>
  <si>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</si>
  <si>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</si>
  <si>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</si>
  <si>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</si>
  <si>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</si>
  <si>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</si>
  <si>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</si>
  <si>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</si>
  <si>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</si>
  <si>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</si>
  <si>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</si>
  <si>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</si>
  <si>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</si>
  <si>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</si>
  <si>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</si>
  <si>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</si>
  <si>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</si>
  <si>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</si>
  <si>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</si>
  <si>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</si>
  <si>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</si>
  <si>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</si>
  <si>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</si>
  <si>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</si>
  <si>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</si>
  <si>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</si>
  <si>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</si>
  <si>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</si>
  <si>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</si>
  <si>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</si>
  <si>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</si>
  <si>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</si>
  <si>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</si>
  <si>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</si>
  <si>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</si>
  <si>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</si>
  <si>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</si>
  <si>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</si>
  <si>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</si>
  <si>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</si>
  <si>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</si>
  <si>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</si>
  <si>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</si>
  <si>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</si>
  <si>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</si>
  <si>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</si>
  <si>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</si>
  <si>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</si>
  <si>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</si>
  <si>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</si>
  <si>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</si>
  <si>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</si>
  <si>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</si>
  <si>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</si>
  <si>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</si>
  <si>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</si>
  <si>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</si>
  <si>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</si>
  <si>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</si>
  <si>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</si>
  <si>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</si>
  <si>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</si>
  <si>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</si>
  <si>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</si>
  <si>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</si>
  <si>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</si>
  <si>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</si>
  <si>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</si>
  <si>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</si>
  <si>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</si>
  <si>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</si>
  <si>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</si>
  <si>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</si>
  <si>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</si>
  <si>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</si>
  <si>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</si>
  <si>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</si>
  <si>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</si>
  <si>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</si>
  <si>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</si>
  <si>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</si>
  <si>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</si>
  <si>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</si>
  <si>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</si>
  <si>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</si>
  <si>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</si>
  <si>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</si>
  <si>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</si>
  <si>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</si>
  <si>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</si>
  <si>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</si>
  <si>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</si>
  <si>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</si>
  <si>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</si>
  <si>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</si>
  <si>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</si>
  <si>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</si>
  <si>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</si>
  <si>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</si>
  <si>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</si>
  <si>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</si>
  <si>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</si>
  <si>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</si>
  <si>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</si>
  <si>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</si>
  <si>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</si>
  <si>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</si>
  <si>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</si>
  <si>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</si>
  <si>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</si>
  <si>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</si>
  <si>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</si>
  <si>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</si>
  <si>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</si>
  <si>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</si>
  <si>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</si>
  <si>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</si>
  <si>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</si>
  <si>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</si>
  <si>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</si>
  <si>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</si>
  <si>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</si>
  <si>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</si>
  <si>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</si>
  <si>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</si>
  <si>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</si>
  <si>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</si>
  <si>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</si>
  <si>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</si>
  <si>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</si>
  <si>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</si>
  <si>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</si>
  <si>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</si>
  <si>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</si>
  <si>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</si>
  <si>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</si>
  <si>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</si>
  <si>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</si>
  <si>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</si>
  <si>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</si>
  <si>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</si>
  <si>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</si>
  <si>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</si>
  <si>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</si>
  <si>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</si>
  <si>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</si>
  <si>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</si>
  <si>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</si>
  <si>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</si>
  <si>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</si>
  <si>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</si>
  <si>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</si>
  <si>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</si>
  <si>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</si>
  <si>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</si>
  <si>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</si>
  <si>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</si>
  <si>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</si>
  <si>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</si>
  <si>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</si>
  <si>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</si>
  <si>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</si>
  <si>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</si>
  <si>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</si>
  <si>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</si>
  <si>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</si>
  <si>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</si>
  <si>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</si>
  <si>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</si>
  <si>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</si>
  <si>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</si>
  <si>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</si>
  <si>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</si>
  <si>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</si>
  <si>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</si>
  <si>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</si>
  <si>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</si>
  <si>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</si>
  <si>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</si>
  <si>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</si>
  <si>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</si>
  <si>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</si>
  <si>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</si>
  <si>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</si>
  <si>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</si>
  <si>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</si>
  <si>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</si>
  <si>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</si>
  <si>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</si>
  <si>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</si>
  <si>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</si>
  <si>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</si>
  <si>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</si>
  <si>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</si>
  <si>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</si>
  <si>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</si>
  <si>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</si>
  <si>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</si>
  <si>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</si>
  <si>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</si>
  <si>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</si>
  <si>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</si>
  <si>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</si>
  <si>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</si>
  <si>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</si>
  <si>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</si>
  <si>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</si>
  <si>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</si>
  <si>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</si>
  <si>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</si>
  <si>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</si>
  <si>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</si>
  <si>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</si>
  <si>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</si>
  <si>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</si>
  <si>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</si>
  <si>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</si>
  <si>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</si>
  <si>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</si>
  <si>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</si>
  <si>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</si>
  <si>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</si>
  <si>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</si>
  <si>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</si>
  <si>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</si>
  <si>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</si>
  <si>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</si>
  <si>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</si>
  <si>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</si>
  <si>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</si>
  <si>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</si>
  <si>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</si>
  <si>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</si>
  <si>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</si>
  <si>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</si>
  <si>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</si>
  <si>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</si>
  <si>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</si>
  <si>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</si>
  <si>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</si>
  <si>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</si>
  <si>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</si>
  <si>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</si>
  <si>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</si>
  <si>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</si>
  <si>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</si>
  <si>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</si>
  <si>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</si>
  <si>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</si>
  <si>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</si>
  <si>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</si>
  <si>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</si>
  <si>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</si>
  <si>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</si>
  <si>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</si>
  <si>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</si>
  <si>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</si>
  <si>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</si>
  <si>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</si>
  <si>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</si>
  <si>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</si>
  <si>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</si>
  <si>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</si>
  <si>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</si>
  <si>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</si>
  <si>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</si>
  <si>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</si>
  <si>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</si>
  <si>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</si>
  <si>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</si>
  <si>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</si>
  <si>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</si>
  <si>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</si>
  <si>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</si>
  <si>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</si>
  <si>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</si>
  <si>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</si>
  <si>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</si>
  <si>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</si>
  <si>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</si>
  <si>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</si>
  <si>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</si>
  <si>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</si>
  <si>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</si>
  <si>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</si>
  <si>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</si>
  <si>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</si>
  <si>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</si>
  <si>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</si>
  <si>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</si>
  <si>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</si>
  <si>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</si>
  <si>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</si>
  <si>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</si>
  <si>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</si>
  <si>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</si>
  <si>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</si>
  <si>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</si>
  <si>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</si>
  <si>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</si>
  <si>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</si>
  <si>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</si>
  <si>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</si>
  <si>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</si>
  <si>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</si>
  <si>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</si>
  <si>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</si>
  <si>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</si>
  <si>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</si>
  <si>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</si>
  <si>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</si>
  <si>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</si>
  <si>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</si>
  <si>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</si>
  <si>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</si>
  <si>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</si>
  <si>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</si>
  <si>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</si>
  <si>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</si>
  <si>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</si>
  <si>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</si>
  <si>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</si>
  <si>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</si>
  <si>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</si>
  <si>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</si>
  <si>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</si>
  <si>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</si>
  <si>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</si>
  <si>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</si>
  <si>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</si>
  <si>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</si>
  <si>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</si>
  <si>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</si>
  <si>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</si>
  <si>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</si>
  <si>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</si>
  <si>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</si>
  <si>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</si>
  <si>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</si>
  <si>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</si>
  <si>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</si>
  <si>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</si>
  <si>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</si>
  <si>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</si>
  <si>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</si>
  <si>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</si>
  <si>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</si>
  <si>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</si>
  <si>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</si>
  <si>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</si>
  <si>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</si>
  <si>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</si>
  <si>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</si>
  <si>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</si>
  <si>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</si>
  <si>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</si>
  <si>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</si>
  <si>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</si>
  <si>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</si>
  <si>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</si>
  <si>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</si>
  <si>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</si>
  <si>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</si>
  <si>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</si>
  <si>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</si>
  <si>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</si>
  <si>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</si>
  <si>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</si>
  <si>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</si>
  <si>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</si>
  <si>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</si>
  <si>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</si>
  <si>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</si>
  <si>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</si>
  <si>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</si>
  <si>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</si>
  <si>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</si>
  <si>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</si>
  <si>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</si>
  <si>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</si>
  <si>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</si>
  <si>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</si>
  <si>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</si>
  <si>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</si>
  <si>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</si>
  <si>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</si>
  <si>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</si>
  <si>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</si>
  <si>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</si>
  <si>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</si>
  <si>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</si>
  <si>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</si>
  <si>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</si>
  <si>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</si>
  <si>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</si>
  <si>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</si>
  <si>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</si>
  <si>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</si>
  <si>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</si>
  <si>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</si>
  <si>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</si>
  <si>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</si>
  <si>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</si>
  <si>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</si>
  <si>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</si>
  <si>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</si>
  <si>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</si>
  <si>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</si>
  <si>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</si>
  <si>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</si>
  <si>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</si>
  <si>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</si>
  <si>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</si>
  <si>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</si>
  <si>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</si>
  <si>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</si>
  <si>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</si>
  <si>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</si>
  <si>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</si>
  <si>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</si>
  <si>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</si>
  <si>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</si>
  <si>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</si>
  <si>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</si>
  <si>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</si>
  <si>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</si>
  <si>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</si>
  <si>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</si>
  <si>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</si>
  <si>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</si>
  <si>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</si>
  <si>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</si>
  <si>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</si>
  <si>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</si>
  <si>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</si>
  <si>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</si>
  <si>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</si>
  <si>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</si>
  <si>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</si>
  <si>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</si>
  <si>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</si>
  <si>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</si>
  <si>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</si>
  <si>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</si>
  <si>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</si>
  <si>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</si>
  <si>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</si>
  <si>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</si>
  <si>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</si>
  <si>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</si>
  <si>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</si>
  <si>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</si>
  <si>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</si>
  <si>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</si>
  <si>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</si>
  <si>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</si>
  <si>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</si>
  <si>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</si>
  <si>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</si>
  <si>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</si>
  <si>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</si>
  <si>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</si>
  <si>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</si>
  <si>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</si>
  <si>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</si>
  <si>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</si>
  <si>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</si>
  <si>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</si>
  <si>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</si>
  <si>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</si>
  <si>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</si>
  <si>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</si>
  <si>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</si>
  <si>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</si>
  <si>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</si>
  <si>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</si>
  <si>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</si>
  <si>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</si>
  <si>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</si>
  <si>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</si>
  <si>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</si>
  <si>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</si>
  <si>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</si>
  <si>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</si>
  <si>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</si>
  <si>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</si>
  <si>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</si>
  <si>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</si>
  <si>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</si>
  <si>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</si>
  <si>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</si>
  <si>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</si>
  <si>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</si>
  <si>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</si>
  <si>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</si>
  <si>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</si>
  <si>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</si>
  <si>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</si>
  <si>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</si>
  <si>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</si>
  <si>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</si>
  <si>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</si>
  <si>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</si>
  <si>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</si>
  <si>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</si>
  <si>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</si>
  <si>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</si>
  <si>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</si>
  <si>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</si>
  <si>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</si>
  <si>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</si>
  <si>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</si>
  <si>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</si>
  <si>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</si>
  <si>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</si>
  <si>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</si>
  <si>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</si>
  <si>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</si>
  <si>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</si>
  <si>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</si>
  <si>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</si>
  <si>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</si>
  <si>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</si>
  <si>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</si>
  <si>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</si>
  <si>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</si>
  <si>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</si>
  <si>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</si>
  <si>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</si>
  <si>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</si>
  <si>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</si>
  <si>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</si>
  <si>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</si>
  <si>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</si>
  <si>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</si>
  <si>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</si>
  <si>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</si>
  <si>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</si>
  <si>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</si>
  <si>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</si>
  <si>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</si>
  <si>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</si>
  <si>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</si>
  <si>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</si>
  <si>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</si>
  <si>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</si>
  <si>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</si>
  <si>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</si>
  <si>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</si>
  <si>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</si>
  <si>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</si>
  <si>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</si>
  <si>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</si>
  <si>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</si>
  <si>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</si>
  <si>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</si>
  <si>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</si>
  <si>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</si>
  <si>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</si>
  <si>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</si>
  <si>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</si>
  <si>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</si>
  <si>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</si>
  <si>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</si>
  <si>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</si>
  <si>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</si>
  <si>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</si>
  <si>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</si>
  <si>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</si>
  <si>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</si>
  <si>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</si>
  <si>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</si>
  <si>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</si>
  <si>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</si>
  <si>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</si>
  <si>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</si>
  <si>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</si>
  <si>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</si>
  <si>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</si>
  <si>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</si>
  <si>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</si>
  <si>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</si>
  <si>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</si>
  <si>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</si>
  <si>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</si>
  <si>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</si>
  <si>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</si>
  <si>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</si>
  <si>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</si>
  <si>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</si>
  <si>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</si>
  <si>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</si>
  <si>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</si>
  <si>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</si>
  <si>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</si>
  <si>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</si>
  <si>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</si>
  <si>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</si>
  <si>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</si>
  <si>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</si>
  <si>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</si>
  <si>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</si>
  <si>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</si>
  <si>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</si>
  <si>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</si>
  <si>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</si>
  <si>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</si>
  <si>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</si>
  <si>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</si>
  <si>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</si>
  <si>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</si>
  <si>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</si>
  <si>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</si>
  <si>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</si>
  <si>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</si>
  <si>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</si>
  <si>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</si>
  <si>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</si>
  <si>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</si>
  <si>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</si>
  <si>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</si>
  <si>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</si>
  <si>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</si>
  <si>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</si>
  <si>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</si>
  <si>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</si>
  <si>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</si>
  <si>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</si>
  <si>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</si>
  <si>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</si>
  <si>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</si>
  <si>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</si>
  <si>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</si>
  <si>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</si>
  <si>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</si>
  <si>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</si>
  <si>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</si>
  <si>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</si>
  <si>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</si>
  <si>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</si>
  <si>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</si>
  <si>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</si>
  <si>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</si>
  <si>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</si>
  <si>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</si>
  <si>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</si>
  <si>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</si>
  <si>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</si>
  <si>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</si>
  <si>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</si>
  <si>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</si>
  <si>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</si>
  <si>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</si>
  <si>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</si>
  <si>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</si>
  <si>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</si>
  <si>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</si>
  <si>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</si>
  <si>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</si>
  <si>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</si>
  <si>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</si>
  <si>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</si>
  <si>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</si>
  <si>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</si>
  <si>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</si>
  <si>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</si>
  <si>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</si>
  <si>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</si>
  <si>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</si>
  <si>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</si>
  <si>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</si>
  <si>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</si>
  <si>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</si>
  <si>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</si>
  <si>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</si>
  <si>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</si>
  <si>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</si>
  <si>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</si>
  <si>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</si>
  <si>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</si>
  <si>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</si>
  <si>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</si>
  <si>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</si>
  <si>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</si>
  <si>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</si>
  <si>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</si>
  <si>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</si>
  <si>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</si>
  <si>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</si>
  <si>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</si>
  <si>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</si>
  <si>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</si>
  <si>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</si>
  <si>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</si>
  <si>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</si>
  <si>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</si>
  <si>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</si>
  <si>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</si>
  <si>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</si>
  <si>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</si>
  <si>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</si>
  <si>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</si>
  <si>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</si>
  <si>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</si>
  <si>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</si>
  <si>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</si>
  <si>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</si>
  <si>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</si>
  <si>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</si>
  <si>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</si>
  <si>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</si>
  <si>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</si>
  <si>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</si>
  <si>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</si>
  <si>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</si>
  <si>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</si>
  <si>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</si>
  <si>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</si>
  <si>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</si>
  <si>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</si>
  <si>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</si>
  <si>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</si>
  <si>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</si>
  <si>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</si>
  <si>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</si>
  <si>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</si>
  <si>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</si>
  <si>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</si>
  <si>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</si>
  <si>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</si>
  <si>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</si>
  <si>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</si>
  <si>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</si>
  <si>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</si>
  <si>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</si>
  <si>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</si>
  <si>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</si>
  <si>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</si>
  <si>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</si>
  <si>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</si>
  <si>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</si>
  <si>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</si>
  <si>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</si>
  <si>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</si>
  <si>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</si>
  <si>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</si>
  <si>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</si>
  <si>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</si>
  <si>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</si>
  <si>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</si>
  <si>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</si>
  <si>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</si>
  <si>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</si>
  <si>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</si>
  <si>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</si>
  <si>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</si>
  <si>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</si>
  <si>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</si>
  <si>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</si>
  <si>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</si>
  <si>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</si>
  <si>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</si>
  <si>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</si>
  <si>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</si>
  <si>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</si>
  <si>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</si>
  <si>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</si>
  <si>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</si>
  <si>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</si>
  <si>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</si>
  <si>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</si>
  <si>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</si>
  <si>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</si>
  <si>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</si>
  <si>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</si>
  <si>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</si>
  <si>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</si>
  <si>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</si>
  <si>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</si>
  <si>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</si>
  <si>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</si>
  <si>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</si>
  <si>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</si>
  <si>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</si>
  <si>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</si>
  <si>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</si>
  <si>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</si>
  <si>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</si>
  <si>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</si>
  <si>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</si>
  <si>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</si>
  <si>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</si>
  <si>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</si>
  <si>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</si>
  <si>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</si>
  <si>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</si>
  <si>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</si>
  <si>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</si>
  <si>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</si>
  <si>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</si>
  <si>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</si>
  <si>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</si>
  <si>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</si>
  <si>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</si>
  <si>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</si>
  <si>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</si>
  <si>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</si>
  <si>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</si>
  <si>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</si>
  <si>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</si>
  <si>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</si>
  <si>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</si>
  <si>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</si>
  <si>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</si>
  <si>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</si>
  <si>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</si>
  <si>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</si>
  <si>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</si>
  <si>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</si>
  <si>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</si>
  <si>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</si>
  <si>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</si>
  <si>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</si>
  <si>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</si>
  <si>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</si>
  <si>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</si>
  <si>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</si>
  <si>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</si>
  <si>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</si>
  <si>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</si>
  <si>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</si>
  <si>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</si>
  <si>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</si>
  <si>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</si>
  <si>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</si>
  <si>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</si>
  <si>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</si>
  <si>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</si>
  <si>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</si>
  <si>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</si>
  <si>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</si>
  <si>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</si>
  <si>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</si>
  <si>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</si>
  <si>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</si>
  <si>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</si>
  <si>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</si>
  <si>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</si>
  <si>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</si>
  <si>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</si>
  <si>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</si>
  <si>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</si>
  <si>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</si>
  <si>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</si>
  <si>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</si>
  <si>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</si>
  <si>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</si>
  <si>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</si>
  <si>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</si>
  <si>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</si>
  <si>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</si>
  <si>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</si>
  <si>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</si>
  <si>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</si>
  <si>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</si>
  <si>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</si>
  <si>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</si>
  <si>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</si>
  <si>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</si>
  <si>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</si>
  <si>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</si>
  <si>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</si>
  <si>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</si>
  <si>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</si>
  <si>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</si>
  <si>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</si>
  <si>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</si>
  <si>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</si>
  <si>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</si>
  <si>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</si>
  <si>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</si>
  <si>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</si>
  <si>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</si>
  <si>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</si>
  <si>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</si>
  <si>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</si>
  <si>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</si>
  <si>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</si>
  <si>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</si>
  <si>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</si>
  <si>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</si>
  <si>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</si>
  <si>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</si>
  <si>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</si>
  <si>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</si>
  <si>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</si>
  <si>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</si>
  <si>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</si>
  <si>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</si>
  <si>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</si>
  <si>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</si>
  <si>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</si>
  <si>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</si>
  <si>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</si>
  <si>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</si>
  <si>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</si>
  <si>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</si>
  <si>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</si>
  <si>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</si>
  <si>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</si>
  <si>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</si>
  <si>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</si>
  <si>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</si>
  <si>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</si>
  <si>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</si>
  <si>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</si>
  <si>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</si>
  <si>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</si>
  <si>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</si>
  <si>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</si>
  <si>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</si>
  <si>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</si>
  <si>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</si>
  <si>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</si>
  <si>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</si>
  <si>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</si>
  <si>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</si>
  <si>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</si>
  <si>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</si>
  <si>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</si>
  <si>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</si>
  <si>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</si>
  <si>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</si>
  <si>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</si>
  <si>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</si>
  <si>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</si>
  <si>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</si>
  <si>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</si>
  <si>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</si>
  <si>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</si>
  <si>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</si>
  <si>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</si>
  <si>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</si>
  <si>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</si>
  <si>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</si>
  <si>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</si>
  <si>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</si>
  <si>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</si>
  <si>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</si>
  <si>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</si>
  <si>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</si>
  <si>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</si>
  <si>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</si>
  <si>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</si>
  <si>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</si>
  <si>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</si>
  <si>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</si>
  <si>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</si>
  <si>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</si>
  <si>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</si>
  <si>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</si>
  <si>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</si>
  <si>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</si>
  <si>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</si>
  <si>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</si>
  <si>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</si>
  <si>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</si>
  <si>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</si>
  <si>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</si>
  <si>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</si>
  <si>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</si>
  <si>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</si>
  <si>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</si>
  <si>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</si>
  <si>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</si>
  <si>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</si>
  <si>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</si>
  <si>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</si>
  <si>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</si>
  <si>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</si>
  <si>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</si>
  <si>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</si>
  <si>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</si>
  <si>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</si>
  <si>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</si>
  <si>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</si>
  <si>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</si>
  <si>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</si>
  <si>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</si>
  <si>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</si>
  <si>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</si>
  <si>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</si>
  <si>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</si>
  <si>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</si>
  <si>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</si>
  <si>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</si>
  <si>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</si>
  <si>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</si>
  <si>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</si>
  <si>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</si>
  <si>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</si>
  <si>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</si>
  <si>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</si>
  <si>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</si>
  <si>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</si>
  <si>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</si>
  <si>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</si>
  <si>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</si>
  <si>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</si>
  <si>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</si>
  <si>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</si>
  <si>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</si>
  <si>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</si>
  <si>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</si>
  <si>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</si>
  <si>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</si>
  <si>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</si>
  <si>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</si>
  <si>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</si>
  <si>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</si>
  <si>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</si>
  <si>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</si>
  <si>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</si>
  <si>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</si>
  <si>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</si>
  <si>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</si>
  <si>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</si>
  <si>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</si>
  <si>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</si>
  <si>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</si>
  <si>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</si>
  <si>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</si>
  <si>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</si>
  <si>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</si>
  <si>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</si>
  <si>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</si>
  <si>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</si>
  <si>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</si>
  <si>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</si>
  <si>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</si>
  <si>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</si>
  <si>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</si>
  <si>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</si>
  <si>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</si>
  <si>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</si>
  <si>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</si>
  <si>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</si>
  <si>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</si>
  <si>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</si>
  <si>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</si>
  <si>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</si>
  <si>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</si>
  <si>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</si>
  <si>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</si>
  <si>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</si>
  <si>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</si>
  <si>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</si>
  <si>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</si>
  <si>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</si>
  <si>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</si>
  <si>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</si>
  <si>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</si>
  <si>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</si>
  <si>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</si>
  <si>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</si>
  <si>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</si>
  <si>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</si>
  <si>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</si>
  <si>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</si>
  <si>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</si>
  <si>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</si>
  <si>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</si>
  <si>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</si>
  <si>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</si>
  <si>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</si>
  <si>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</si>
  <si>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</si>
  <si>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</si>
  <si>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</si>
  <si>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</si>
  <si>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</si>
  <si>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</si>
  <si>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</si>
  <si>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</si>
  <si>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</si>
  <si>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</si>
  <si>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</si>
  <si>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</si>
  <si>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</si>
  <si>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</si>
  <si>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</si>
  <si>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</si>
  <si>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</si>
  <si>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</si>
  <si>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</si>
  <si>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</si>
  <si>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</si>
  <si>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</si>
  <si>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</si>
  <si>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</si>
  <si>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</si>
  <si>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</si>
  <si>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</si>
  <si>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</si>
  <si>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</si>
  <si>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</si>
  <si>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</si>
  <si>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</si>
  <si>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</si>
  <si>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</si>
  <si>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</si>
  <si>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</si>
  <si>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</si>
  <si>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</si>
  <si>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</si>
  <si>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</si>
  <si>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</si>
  <si>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</si>
  <si>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</si>
  <si>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</si>
  <si>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</si>
  <si>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</si>
  <si>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</si>
  <si>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</si>
  <si>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</si>
  <si>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</si>
  <si>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</si>
  <si>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</si>
  <si>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</si>
  <si>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</si>
  <si>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</si>
  <si>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</si>
  <si>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</si>
  <si>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</si>
  <si>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</si>
  <si>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</si>
  <si>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</si>
  <si>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</si>
  <si>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</si>
  <si>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</si>
  <si>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</si>
  <si>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</si>
  <si>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</si>
  <si>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</si>
  <si>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</si>
  <si>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</si>
  <si>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</si>
  <si>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</si>
  <si>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</si>
  <si>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</si>
  <si>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</si>
  <si>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</si>
  <si>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</si>
  <si>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</si>
  <si>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</si>
  <si>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</si>
  <si>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</si>
  <si>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</si>
  <si>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</si>
  <si>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</si>
  <si>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</si>
  <si>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</si>
  <si>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</si>
  <si>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</si>
  <si>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</si>
  <si>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</si>
  <si>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</si>
  <si>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</si>
  <si>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</si>
  <si>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</si>
  <si>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</si>
  <si>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</si>
  <si>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</si>
  <si>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</si>
  <si>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</si>
  <si>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</si>
  <si>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</si>
  <si>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</si>
  <si>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</si>
  <si>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</si>
  <si>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</si>
  <si>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</si>
  <si>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</si>
  <si>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</si>
  <si>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</si>
  <si>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</si>
  <si>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</si>
  <si>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</si>
  <si>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</si>
  <si>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</si>
  <si>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</si>
  <si>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</si>
  <si>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</si>
  <si>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</si>
  <si>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</si>
  <si>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</si>
  <si>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</si>
  <si>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</si>
  <si>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</si>
  <si>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</si>
  <si>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</si>
  <si>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</si>
  <si>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</si>
  <si>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</si>
  <si>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</si>
  <si>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</si>
  <si>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</si>
  <si>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</si>
  <si>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</si>
  <si>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</si>
  <si>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</si>
  <si>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</si>
  <si>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</si>
  <si>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</si>
  <si>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</si>
  <si>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</si>
  <si>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</si>
  <si>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</si>
  <si>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</si>
  <si>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</si>
  <si>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</si>
  <si>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</si>
  <si>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</si>
  <si>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</si>
  <si>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</si>
  <si>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</si>
  <si>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</si>
  <si>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</si>
  <si>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</si>
  <si>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</si>
  <si>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</si>
  <si>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</si>
  <si>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</si>
  <si>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</si>
  <si>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</si>
  <si>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</si>
  <si>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</si>
  <si>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</si>
  <si>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</si>
  <si>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</si>
  <si>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</si>
  <si>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</si>
  <si>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</si>
  <si>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</si>
  <si>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</si>
  <si>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</si>
  <si>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</si>
  <si>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</si>
  <si>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</si>
  <si>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</si>
  <si>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</si>
  <si>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</si>
  <si>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</si>
  <si>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</si>
  <si>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</si>
  <si>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</si>
  <si>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</si>
  <si>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</si>
  <si>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</si>
  <si>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</si>
  <si>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</si>
  <si>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</si>
  <si>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</si>
  <si>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</si>
  <si>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</si>
  <si>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</si>
  <si>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</si>
  <si>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</si>
  <si>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</si>
  <si>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</si>
  <si>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</si>
  <si>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Atrrition Rate</t>
  </si>
  <si>
    <t>Average of Job Satisfaction</t>
  </si>
  <si>
    <t>Rating</t>
  </si>
  <si>
    <t>Balance Rating</t>
  </si>
  <si>
    <t>Row Labels</t>
  </si>
  <si>
    <t>Grand Total</t>
  </si>
  <si>
    <t>Count of Employee Count</t>
  </si>
  <si>
    <t>Count of Attrition</t>
  </si>
  <si>
    <t xml:space="preserve">Marital Status </t>
  </si>
  <si>
    <t>Atrrition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</si>
</sst>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4" x14ac:knownFonts="1">
    <font>
      <sz val="12"/>
      <color theme="1"/>
      <name val="Calibri"/>
      <scheme val="minor"/>
    </font>
    <font>
      <sz val="12"/>
      <color theme="1"/>
      <name val="Calibri"/>
      <scheme val="minor"/>
    </font>
    <font>
      <sz val="12"/>
      <color rgb="FFFF0000"/>
      <name val="Calibri"/>
      <family val="2"/>
      <scheme val="minor"/>
    </font>
    <font>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applyFont="1" applyAlignment="1"/>
    <xf numFmtId="0" fontId="1" fillId="0" borderId="0" xfId="0" applyFont="1"/>
    <xf numFmtId="0" fontId="0" fillId="0" borderId="0" xfId="0" applyNumberFormat="1" applyFont="1" applyAlignment="1"/>
    <xf numFmtId="10" fontId="0" fillId="0" borderId="0" xfId="1" applyNumberFormat="1" applyFont="1" applyAlignment="1"/>
    <xf numFmtId="1" fontId="0" fillId="0" borderId="0" xfId="0" applyNumberFormat="1" applyFont="1" applyAlignment="1"/>
    <xf numFmtId="0" fontId="2" fillId="2" borderId="0" xfId="0" applyFont="1" applyFill="1" applyAlignment="1"/>
    <xf numFmtId="0" fontId="0" fillId="2" borderId="0" xfId="0" applyFont="1" applyFill="1" applyAlignment="1"/>
    <xf numFmtId="170" fontId="0" fillId="0" borderId="0" xfId="0" applyNumberFormat="1" applyFont="1" applyAlignment="1"/>
    <xf numFmtId="0" fontId="3" fillId="0" borderId="0" xfId="0" applyFont="1" applyAlignment="1"/>
    <xf numFmtId="0" fontId="0" fillId="0" borderId="0" xfId="0" pivotButton="1" applyFont="1" applyAlignment="1"/>
    <xf numFmtId="0" fontId="0" fillId="0" borderId="0" xfId="0" applyFont="1" applyAlignment="1">
      <alignment horizontal="left"/>
    </xf>
    <xf numFmtId="0" fontId="3" fillId="0" borderId="0" xfId="0" applyFont="1" applyAlignment="1">
      <alignment horizontal="left"/>
    </xf>
    <xf numFmtId="9" fontId="0" fillId="0" borderId="0" xfId="1" applyFont="1" applyAlignment="1"/>
    <xf numFmtId="0" fontId="3" fillId="0" borderId="0" xfId="0" applyFont="1"/>
    <xf numFmtId="10" fontId="0" fillId="0" borderId="0" xfId="0" applyNumberFormat="1" applyFont="1" applyAlignment="1"/>
  </cellXfs>
  <cellStyles count="2">
    <cellStyle name="Normal" xfId="0" builtinId="0"/>
    <cellStyle name="Percent" xfId="1" builtinId="5"/>
  </cellStyles>
  <dxfs count="21">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fill>
        <patternFill>
          <bgColor theme="0" tint="-4.9989318521683403E-2"/>
        </patternFill>
      </fill>
    </dxf>
    <dxf>
      <numFmt numFmtId="170"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PivotStyle="PivotStyleMedium13">
    <tableStyle name="Data-style" pivot="0" count="3" xr9:uid="{00000000-0011-0000-FFFF-FFFF00000000}">
      <tableStyleElement type="headerRow" dxfId="20"/>
      <tableStyleElement type="firstRowStripe" dxfId="19"/>
      <tableStyleElement type="secondRowStripe" dxfId="18"/>
    </tableStyle>
    <tableStyle name="Slicer" pivot="0" table="0" count="4" xr9:uid="{ACF49F04-8D4E-4D07-9C3B-E2E2E0B3C246}">
      <tableStyleElement type="wholeTable" dxfId="16"/>
    </tableStyle>
  </tableStyles>
  <colors>
    <mruColors>
      <color rgb="FF5881CC"/>
      <color rgb="FF406FC4"/>
      <color rgb="FF890583"/>
      <color rgb="FFF731EE"/>
      <color rgb="FFF95DF2"/>
      <color rgb="FF007DDA"/>
      <color rgb="FF001746"/>
      <color rgb="FF641A60"/>
      <color rgb="FF82227D"/>
    </mruColors>
  </colors>
  <extLst>
    <ext xmlns:x14="http://schemas.microsoft.com/office/spreadsheetml/2009/9/main" uri="{46F421CA-312F-682f-3DD2-61675219B42D}">
      <x14:dxfs count="6">
        <dxf>
          <fill>
            <gradientFill>
              <stop position="0">
                <color theme="1" tint="0.1490218817712943"/>
              </stop>
              <stop position="1">
                <color theme="1" tint="0.49803155613879818"/>
              </stop>
            </gradientFill>
          </fill>
        </dxf>
        <dxf>
          <font>
            <b/>
            <i val="0"/>
            <color theme="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1" tint="0.49803155613879818"/>
              </stop>
            </gradientFill>
          </fill>
        </dxf>
        <dxf>
          <fill>
            <gradientFill>
              <stop position="0">
                <color theme="1" tint="0.1490218817712943"/>
              </stop>
              <stop position="1">
                <color theme="1" tint="0.49803155613879818"/>
              </stop>
            </gradientFill>
          </fill>
        </dxf>
        <dxf>
          <fill>
            <gradientFill>
              <stop position="0">
                <color theme="1" tint="0.1490218817712943"/>
              </stop>
              <stop position="1">
                <color theme="1" tint="0.49803155613879818"/>
              </stop>
            </gradientFill>
          </fill>
        </dxf>
        <dxf>
          <font>
            <b/>
            <i val="0"/>
            <name val="Calibri"/>
            <family val="2"/>
            <scheme val="minor"/>
          </font>
          <fill>
            <gradientFill>
              <stop position="0">
                <color theme="9" tint="-0.25098422193060094"/>
              </stop>
              <stop position="1">
                <color theme="9" tint="0.4000061037018952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5" Type="http://schemas.openxmlformats.org/officeDocument/2006/relationships/worksheet" Target="worksheets/sheet15.xml"/><Relationship Id="rId23"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6F2A-436F-BD8F-FACFFE2B69D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984421095036372E-2"/>
          <c:y val="0.12016716031214884"/>
          <c:w val="0.87541531553529506"/>
          <c:h val="0.76496035933652629"/>
        </c:manualLayout>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D753-4B29-911C-0FA76F8C4F9C}"/>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D753-4B29-911C-0FA76F8C4F9C}"/>
            </c:ext>
          </c:extLst>
        </c:ser>
        <c:dLbls>
          <c:showLegendKey val="0"/>
          <c:showVal val="0"/>
          <c:showCatName val="0"/>
          <c:showSerName val="0"/>
          <c:showPercent val="0"/>
          <c:showBubbleSize val="0"/>
        </c:dLbls>
        <c:gapWidth val="0"/>
        <c:overlap val="100"/>
        <c:axId val="1558304880"/>
        <c:axId val="1341869088"/>
      </c:barChart>
      <c:catAx>
        <c:axId val="1558304880"/>
        <c:scaling>
          <c:orientation val="minMax"/>
        </c:scaling>
        <c:delete val="1"/>
        <c:axPos val="l"/>
        <c:majorTickMark val="out"/>
        <c:minorTickMark val="none"/>
        <c:tickLblPos val="nextTo"/>
        <c:crossAx val="1341869088"/>
        <c:crosses val="autoZero"/>
        <c:auto val="1"/>
        <c:lblAlgn val="ctr"/>
        <c:lblOffset val="100"/>
        <c:noMultiLvlLbl val="0"/>
      </c:catAx>
      <c:valAx>
        <c:axId val="1341869088"/>
        <c:scaling>
          <c:orientation val="minMax"/>
          <c:max val="4"/>
        </c:scaling>
        <c:delete val="1"/>
        <c:axPos val="b"/>
        <c:numFmt formatCode="0.0" sourceLinked="1"/>
        <c:majorTickMark val="out"/>
        <c:minorTickMark val="none"/>
        <c:tickLblPos val="nextTo"/>
        <c:crossAx val="1558304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Gender!$C$9:$C$10</c:f>
              <c:numCache>
                <c:formatCode>0%</c:formatCode>
                <c:ptCount val="2"/>
                <c:pt idx="0">
                  <c:v>0.4</c:v>
                </c:pt>
                <c:pt idx="1">
                  <c:v>0.6</c:v>
                </c:pt>
              </c:numCache>
            </c:numRef>
          </c:val>
          <c:extLst>
            <c:ext xmlns:c16="http://schemas.microsoft.com/office/drawing/2014/chart" uri="{C3380CC4-5D6E-409C-BE32-E72D297353CC}">
              <c16:uniqueId val="{00000000-1E0C-46C8-980B-0CB39EA5BF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DATA_Excel.xlsx]EducationByAttrition!EducationByAttrition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EducationByAttrition!$B$3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EducationByAttrition!$A$4:$A$9</c:f>
              <c:strCache>
                <c:ptCount val="5"/>
                <c:pt idx="0">
                  <c:v>Doctoral Degree</c:v>
                </c:pt>
                <c:pt idx="1">
                  <c:v>High School</c:v>
                </c:pt>
                <c:pt idx="2">
                  <c:v>Associates Degree</c:v>
                </c:pt>
                <c:pt idx="3">
                  <c:v>Master's Degree</c:v>
                </c:pt>
                <c:pt idx="4">
                  <c:v>Bachelor's Degree</c:v>
                </c:pt>
              </c:strCache>
            </c:strRef>
          </c:cat>
          <c:val>
            <c:numRef>
              <c:f>EducationByAttrition!$B$4:$B$9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F0D-480D-A74C-2F80E12CE9B7}"/>
            </c:ext>
          </c:extLst>
        </c:ser>
        <c:dLbls>
          <c:dLblPos val="outEnd"/>
          <c:showLegendKey val="0"/>
          <c:showVal val="1"/>
          <c:showCatName val="0"/>
          <c:showSerName val="0"/>
          <c:showPercent val="0"/>
          <c:showBubbleSize val="0"/>
        </c:dLbls>
        <c:gapWidth val="182"/>
        <c:axId val="1347778592"/>
        <c:axId val="1605363840"/>
      </c:barChart>
      <c:catAx>
        <c:axId val="134777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363840"/>
        <c:crosses val="autoZero"/>
        <c:auto val="1"/>
        <c:lblAlgn val="ctr"/>
        <c:lblOffset val="100"/>
        <c:noMultiLvlLbl val="0"/>
      </c:catAx>
      <c:valAx>
        <c:axId val="1605363840"/>
        <c:scaling>
          <c:orientation val="minMax"/>
        </c:scaling>
        <c:delete val="1"/>
        <c:axPos val="b"/>
        <c:numFmt formatCode="General" sourceLinked="1"/>
        <c:majorTickMark val="out"/>
        <c:minorTickMark val="none"/>
        <c:tickLblPos val="nextTo"/>
        <c:crossAx val="134777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DATA_Excel.xlsx]DepartmentWiseAttrition!DepartmentWiseAttrition</c:name>
    <c:fmtId val="0"/>
  </c:pivotSource>
  <c:chart>
    <c:autoTitleDeleted val="1"/>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DepartmentWiseAttrition!$B$3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DepartmentWiseAttrition!$A$4:$A$7</c:f>
              <c:strCache>
                <c:ptCount val="3"/>
                <c:pt idx="0">
                  <c:v>HR</c:v>
                </c:pt>
                <c:pt idx="1">
                  <c:v>R&amp;D</c:v>
                </c:pt>
                <c:pt idx="2">
                  <c:v>Sales</c:v>
                </c:pt>
              </c:strCache>
            </c:strRef>
          </c:cat>
          <c:val>
            <c:numRef>
              <c:f>DepartmentWiseAttrition!$B$4:$B$7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2CC0-410C-961B-7499137401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DATA_Excel.xlsx]AttritionByAgeGroup!AttritionByAgeGroup</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AttritionByAgeGroup!$B$3</c:f>
              <c:strCache>
                <c:ptCount val="1"/>
                <c:pt idx="0">
                  <c:v>Total</c:v>
                </c:pt>
              </c:strCache>
            </c:strRef>
          </c:tx>
          <c:spPr>
            <a:solidFill>
              <a:schemeClr val="accent1"/>
            </a:solidFill>
            <a:ln>
              <a:noFill/>
            </a:ln>
            <a:effectLst/>
          </c:spPr>
          <c:invertIfNegative val="0"/>
          <c:cat>
            <c:strRef>
              <c:f>AttritionByAgeGroup!$A$4:$A$9</c:f>
              <c:strCache>
                <c:ptCount val="5"/>
                <c:pt idx="0">
                  <c:v>25 - 34</c:v>
                </c:pt>
                <c:pt idx="1">
                  <c:v>35 - 44</c:v>
                </c:pt>
                <c:pt idx="2">
                  <c:v>Under 25</c:v>
                </c:pt>
                <c:pt idx="3">
                  <c:v>45 - 54</c:v>
                </c:pt>
                <c:pt idx="4">
                  <c:v>Over 55</c:v>
                </c:pt>
              </c:strCache>
            </c:strRef>
          </c:cat>
          <c:val>
            <c:numRef>
              <c:f>AttritionByAgeGroup!$B$4:$B$9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302-4B7B-8A1B-955BD8D3FD75}"/>
            </c:ext>
          </c:extLst>
        </c:ser>
        <c:dLbls>
          <c:showLegendKey val="0"/>
          <c:showVal val="0"/>
          <c:showCatName val="0"/>
          <c:showSerName val="0"/>
          <c:showPercent val="0"/>
          <c:showBubbleSize val="0"/>
        </c:dLbls>
        <c:gapWidth val="219"/>
        <c:overlap val="-27"/>
        <c:axId val="1560753056"/>
        <c:axId val="1558742992"/>
      </c:barChart>
      <c:catAx>
        <c:axId val="15607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742992"/>
        <c:crosses val="autoZero"/>
        <c:auto val="1"/>
        <c:lblAlgn val="ctr"/>
        <c:lblOffset val="100"/>
        <c:noMultiLvlLbl val="0"/>
      </c:catAx>
      <c:valAx>
        <c:axId val="1558742992"/>
        <c:scaling>
          <c:orientation val="minMax"/>
        </c:scaling>
        <c:delete val="1"/>
        <c:axPos val="l"/>
        <c:numFmt formatCode="General" sourceLinked="1"/>
        <c:majorTickMark val="none"/>
        <c:minorTickMark val="none"/>
        <c:tickLblPos val="nextTo"/>
        <c:crossAx val="156075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653346240321151E-2"/>
          <c:y val="9.0119450741408647E-2"/>
          <c:w val="0.77562462963458834"/>
          <c:h val="0.90988115265469405"/>
        </c:manualLayout>
      </c:layout>
      <c:doughnutChart>
        <c:varyColors val="1"/>
        <c:ser>
          <c:idx val="0"/>
          <c:order val="0"/>
          <c:dPt>
            <c:idx val="0"/>
            <c:bubble3D val="0"/>
            <c:spPr>
              <a:gradFill>
                <a:gsLst>
                  <a:gs pos="0">
                    <a:schemeClr val="accent5">
                      <a:lumMod val="50000"/>
                    </a:schemeClr>
                  </a:gs>
                  <a:gs pos="100000">
                    <a:schemeClr val="accent6"/>
                  </a:gs>
                </a:gsLst>
                <a:lin ang="5400000" scaled="1"/>
              </a:gradFill>
              <a:ln w="19050">
                <a:solidFill>
                  <a:schemeClr val="lt1"/>
                </a:solidFill>
              </a:ln>
              <a:effectLst/>
            </c:spPr>
            <c:extLst>
              <c:ext xmlns:c16="http://schemas.microsoft.com/office/drawing/2014/chart" uri="{C3380CC4-5D6E-409C-BE32-E72D297353CC}">
                <c16:uniqueId val="{00000001-B057-441C-BE18-635405687B42}"/>
              </c:ext>
            </c:extLst>
          </c:dPt>
          <c:dPt>
            <c:idx val="1"/>
            <c:bubble3D val="0"/>
            <c:spPr>
              <a:solidFill>
                <a:schemeClr val="bg2">
                  <a:lumMod val="85000"/>
                  <a:alpha val="95000"/>
                </a:schemeClr>
              </a:solidFill>
              <a:ln w="19050">
                <a:solidFill>
                  <a:schemeClr val="lt1"/>
                </a:solidFill>
              </a:ln>
              <a:effectLst/>
            </c:spPr>
            <c:extLst>
              <c:ext xmlns:c16="http://schemas.microsoft.com/office/drawing/2014/chart" uri="{C3380CC4-5D6E-409C-BE32-E72D297353CC}">
                <c16:uniqueId val="{00000003-B057-441C-BE18-635405687B42}"/>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B057-441C-BE18-635405687B4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156191195613316E-2"/>
          <c:y val="0.12016716031214884"/>
          <c:w val="0.93549113735055744"/>
          <c:h val="0.83162709951343561"/>
        </c:manualLayout>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FF1B-43A2-A408-E4828FE9F6C9}"/>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FF1B-43A2-A408-E4828FE9F6C9}"/>
            </c:ext>
          </c:extLst>
        </c:ser>
        <c:dLbls>
          <c:showLegendKey val="0"/>
          <c:showVal val="0"/>
          <c:showCatName val="0"/>
          <c:showSerName val="0"/>
          <c:showPercent val="0"/>
          <c:showBubbleSize val="0"/>
        </c:dLbls>
        <c:gapWidth val="0"/>
        <c:overlap val="100"/>
        <c:axId val="1558304880"/>
        <c:axId val="1341869088"/>
      </c:barChart>
      <c:catAx>
        <c:axId val="1558304880"/>
        <c:scaling>
          <c:orientation val="minMax"/>
        </c:scaling>
        <c:delete val="1"/>
        <c:axPos val="l"/>
        <c:majorTickMark val="out"/>
        <c:minorTickMark val="none"/>
        <c:tickLblPos val="nextTo"/>
        <c:crossAx val="1341869088"/>
        <c:crosses val="autoZero"/>
        <c:auto val="1"/>
        <c:lblAlgn val="ctr"/>
        <c:lblOffset val="100"/>
        <c:noMultiLvlLbl val="0"/>
      </c:catAx>
      <c:valAx>
        <c:axId val="1341869088"/>
        <c:scaling>
          <c:orientation val="minMax"/>
          <c:max val="4"/>
        </c:scaling>
        <c:delete val="1"/>
        <c:axPos val="b"/>
        <c:numFmt formatCode="0.0" sourceLinked="1"/>
        <c:majorTickMark val="out"/>
        <c:minorTickMark val="none"/>
        <c:tickLblPos val="nextTo"/>
        <c:crossAx val="1558304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41A60"/>
                  </a:gs>
                  <a:gs pos="100000">
                    <a:srgbClr val="F95DF2"/>
                  </a:gs>
                </a:gsLst>
                <a:lin ang="10800000" scaled="0"/>
              </a:gradFill>
              <a:ln w="19050">
                <a:noFill/>
              </a:ln>
              <a:effectLst/>
            </c:spPr>
            <c:extLst>
              <c:ext xmlns:c16="http://schemas.microsoft.com/office/drawing/2014/chart" uri="{C3380CC4-5D6E-409C-BE32-E72D297353CC}">
                <c16:uniqueId val="{00000001-8FAB-4E58-A326-5757DE21D6D0}"/>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8FAB-4E58-A326-5757DE21D6D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8FAB-4E58-A326-5757DE21D6D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CE89-4967-B67D-3C81B42B811E}"/>
              </c:ext>
            </c:extLst>
          </c:dPt>
          <c:dPt>
            <c:idx val="1"/>
            <c:bubble3D val="0"/>
            <c:spPr>
              <a:gradFill>
                <a:gsLst>
                  <a:gs pos="0">
                    <a:srgbClr val="001746"/>
                  </a:gs>
                  <a:gs pos="100000">
                    <a:srgbClr val="007DDA"/>
                  </a:gs>
                </a:gsLst>
                <a:lin ang="10800000" scaled="0"/>
              </a:gradFill>
              <a:ln w="19050">
                <a:solidFill>
                  <a:schemeClr val="lt1"/>
                </a:solidFill>
              </a:ln>
              <a:effectLst/>
            </c:spPr>
            <c:extLst>
              <c:ext xmlns:c16="http://schemas.microsoft.com/office/drawing/2014/chart" uri="{C3380CC4-5D6E-409C-BE32-E72D297353CC}">
                <c16:uniqueId val="{00000003-CE89-4967-B67D-3C81B42B811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E89-4967-B67D-3C81B42B811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DATA_Excel.xlsx]EducationByAttrition!EducationByAttrition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EducationByAttrition!$B$3</c:f>
              <c:strCache>
                <c:ptCount val="1"/>
                <c:pt idx="0">
                  <c:v>Total</c:v>
                </c:pt>
              </c:strCache>
            </c:strRef>
          </c:tx>
          <c:spPr>
            <a:gradFill>
              <a:gsLst>
                <a:gs pos="0">
                  <a:schemeClr val="accent6">
                    <a:lumMod val="50000"/>
                  </a:schemeClr>
                </a:gs>
                <a:gs pos="100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EducationByAttrition!$A$4:$A$9</c:f>
              <c:strCache>
                <c:ptCount val="5"/>
                <c:pt idx="0">
                  <c:v>Doctoral Degree</c:v>
                </c:pt>
                <c:pt idx="1">
                  <c:v>High School</c:v>
                </c:pt>
                <c:pt idx="2">
                  <c:v>Associates Degree</c:v>
                </c:pt>
                <c:pt idx="3">
                  <c:v>Master's Degree</c:v>
                </c:pt>
                <c:pt idx="4">
                  <c:v>Bachelor's Degree</c:v>
                </c:pt>
              </c:strCache>
            </c:strRef>
          </c:cat>
          <c:val>
            <c:numRef>
              <c:f>EducationByAttrition!$B$4:$B$9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BAB-4ADD-AD91-36AA40B09038}"/>
            </c:ext>
          </c:extLst>
        </c:ser>
        <c:dLbls>
          <c:dLblPos val="outEnd"/>
          <c:showLegendKey val="0"/>
          <c:showVal val="1"/>
          <c:showCatName val="0"/>
          <c:showSerName val="0"/>
          <c:showPercent val="0"/>
          <c:showBubbleSize val="0"/>
        </c:dLbls>
        <c:gapWidth val="75"/>
        <c:axId val="1347778592"/>
        <c:axId val="1605363840"/>
      </c:barChart>
      <c:catAx>
        <c:axId val="134777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05363840"/>
        <c:crosses val="autoZero"/>
        <c:auto val="1"/>
        <c:lblAlgn val="ctr"/>
        <c:lblOffset val="100"/>
        <c:noMultiLvlLbl val="0"/>
      </c:catAx>
      <c:valAx>
        <c:axId val="1605363840"/>
        <c:scaling>
          <c:orientation val="minMax"/>
        </c:scaling>
        <c:delete val="1"/>
        <c:axPos val="b"/>
        <c:numFmt formatCode="General" sourceLinked="1"/>
        <c:majorTickMark val="out"/>
        <c:minorTickMark val="none"/>
        <c:tickLblPos val="nextTo"/>
        <c:crossAx val="134777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DATA_Excel.xlsx]DepartmentWiseAttrition!DepartmentWiseAttrition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5">
                  <a:lumMod val="50000"/>
                </a:schemeClr>
              </a:gs>
              <a:gs pos="100000">
                <a:schemeClr val="accent5">
                  <a:lumMod val="40000"/>
                  <a:lumOff val="60000"/>
                </a:schemeClr>
              </a:gs>
            </a:gsLst>
            <a:lin ang="10800000" scaled="0"/>
          </a:gradFill>
          <a:ln w="12700">
            <a:solidFill>
              <a:schemeClr val="bg1">
                <a:lumMod val="75000"/>
              </a:schemeClr>
            </a:solidFill>
          </a:ln>
          <a:effectLst/>
        </c:spPr>
      </c:pivotFmt>
      <c:pivotFmt>
        <c:idx val="7"/>
        <c:spPr>
          <a:gradFill>
            <a:gsLst>
              <a:gs pos="0">
                <a:srgbClr val="002060"/>
              </a:gs>
              <a:gs pos="100000">
                <a:srgbClr val="5881CC"/>
              </a:gs>
            </a:gsLst>
            <a:lin ang="10800000" scaled="0"/>
          </a:gradFill>
          <a:ln w="12700">
            <a:solidFill>
              <a:schemeClr val="bg1">
                <a:lumMod val="75000"/>
              </a:schemeClr>
            </a:solidFill>
          </a:ln>
          <a:effectLst/>
        </c:spPr>
      </c:pivotFmt>
      <c:pivotFmt>
        <c:idx val="8"/>
        <c:spPr>
          <a:gradFill>
            <a:gsLst>
              <a:gs pos="0">
                <a:schemeClr val="accent3">
                  <a:lumMod val="50000"/>
                </a:schemeClr>
              </a:gs>
              <a:gs pos="100000">
                <a:schemeClr val="accent3">
                  <a:lumMod val="75000"/>
                </a:schemeClr>
              </a:gs>
            </a:gsLst>
            <a:lin ang="2400000" scaled="0"/>
          </a:gradFill>
          <a:ln w="12700">
            <a:solidFill>
              <a:schemeClr val="bg1">
                <a:lumMod val="75000"/>
              </a:schemeClr>
            </a:solidFill>
          </a:ln>
          <a:effectLst/>
        </c:spPr>
      </c:pivotFmt>
    </c:pivotFmts>
    <c:plotArea>
      <c:layout/>
      <c:pieChart>
        <c:varyColors val="1"/>
        <c:ser>
          <c:idx val="0"/>
          <c:order val="0"/>
          <c:tx>
            <c:strRef>
              <c:f>DepartmentWiseAttrition!$B$3</c:f>
              <c:strCache>
                <c:ptCount val="1"/>
                <c:pt idx="0">
                  <c:v>Total</c:v>
                </c:pt>
              </c:strCache>
            </c:strRef>
          </c:tx>
          <c:spPr>
            <a:ln w="12700">
              <a:solidFill>
                <a:schemeClr val="bg1">
                  <a:lumMod val="75000"/>
                </a:schemeClr>
              </a:solidFill>
            </a:ln>
          </c:spPr>
          <c:dPt>
            <c:idx val="0"/>
            <c:bubble3D val="0"/>
            <c:spPr>
              <a:gradFill>
                <a:gsLst>
                  <a:gs pos="0">
                    <a:schemeClr val="accent5">
                      <a:lumMod val="50000"/>
                    </a:schemeClr>
                  </a:gs>
                  <a:gs pos="100000">
                    <a:schemeClr val="accent5">
                      <a:lumMod val="40000"/>
                      <a:lumOff val="60000"/>
                    </a:schemeClr>
                  </a:gs>
                </a:gsLst>
                <a:lin ang="10800000" scaled="0"/>
              </a:gradFill>
              <a:ln w="12700">
                <a:solidFill>
                  <a:schemeClr val="bg1">
                    <a:lumMod val="75000"/>
                  </a:schemeClr>
                </a:solidFill>
              </a:ln>
              <a:effectLst/>
            </c:spPr>
            <c:extLst>
              <c:ext xmlns:c16="http://schemas.microsoft.com/office/drawing/2014/chart" uri="{C3380CC4-5D6E-409C-BE32-E72D297353CC}">
                <c16:uniqueId val="{00000001-12EC-4695-8FAE-0090108B6637}"/>
              </c:ext>
            </c:extLst>
          </c:dPt>
          <c:dPt>
            <c:idx val="1"/>
            <c:bubble3D val="0"/>
            <c:spPr>
              <a:gradFill>
                <a:gsLst>
                  <a:gs pos="0">
                    <a:srgbClr val="002060"/>
                  </a:gs>
                  <a:gs pos="100000">
                    <a:srgbClr val="5881CC"/>
                  </a:gs>
                </a:gsLst>
                <a:lin ang="10800000" scaled="0"/>
              </a:gradFill>
              <a:ln w="12700">
                <a:solidFill>
                  <a:schemeClr val="bg1">
                    <a:lumMod val="75000"/>
                  </a:schemeClr>
                </a:solidFill>
              </a:ln>
              <a:effectLst/>
            </c:spPr>
            <c:extLst>
              <c:ext xmlns:c16="http://schemas.microsoft.com/office/drawing/2014/chart" uri="{C3380CC4-5D6E-409C-BE32-E72D297353CC}">
                <c16:uniqueId val="{00000003-12EC-4695-8FAE-0090108B6637}"/>
              </c:ext>
            </c:extLst>
          </c:dPt>
          <c:dPt>
            <c:idx val="2"/>
            <c:bubble3D val="0"/>
            <c:spPr>
              <a:gradFill>
                <a:gsLst>
                  <a:gs pos="0">
                    <a:schemeClr val="accent3">
                      <a:lumMod val="50000"/>
                    </a:schemeClr>
                  </a:gs>
                  <a:gs pos="100000">
                    <a:schemeClr val="accent3">
                      <a:lumMod val="75000"/>
                    </a:schemeClr>
                  </a:gs>
                </a:gsLst>
                <a:lin ang="2400000" scaled="0"/>
              </a:gradFill>
              <a:ln w="12700">
                <a:solidFill>
                  <a:schemeClr val="bg1">
                    <a:lumMod val="75000"/>
                  </a:schemeClr>
                </a:solidFill>
              </a:ln>
              <a:effectLst/>
            </c:spPr>
            <c:extLst>
              <c:ext xmlns:c16="http://schemas.microsoft.com/office/drawing/2014/chart" uri="{C3380CC4-5D6E-409C-BE32-E72D297353CC}">
                <c16:uniqueId val="{00000005-12EC-4695-8FAE-0090108B66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DepartmentWiseAttrition!$A$4:$A$7</c:f>
              <c:strCache>
                <c:ptCount val="3"/>
                <c:pt idx="0">
                  <c:v>HR</c:v>
                </c:pt>
                <c:pt idx="1">
                  <c:v>R&amp;D</c:v>
                </c:pt>
                <c:pt idx="2">
                  <c:v>Sales</c:v>
                </c:pt>
              </c:strCache>
            </c:strRef>
          </c:cat>
          <c:val>
            <c:numRef>
              <c:f>DepartmentWiseAttrition!$B$4:$B$7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2EC-4695-8FAE-0090108B66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DATA_Excel.xlsx]AttritionByAgeGroup!AttritionByAgeGroup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50000"/>
                </a:schemeClr>
              </a:gs>
              <a:gs pos="100000">
                <a:schemeClr val="accent2">
                  <a:lumMod val="75000"/>
                </a:schemeClr>
              </a:gs>
            </a:gsLst>
            <a:lin ang="16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AttritionByAgeGroup!$B$3</c:f>
              <c:strCache>
                <c:ptCount val="1"/>
                <c:pt idx="0">
                  <c:v>Total</c:v>
                </c:pt>
              </c:strCache>
            </c:strRef>
          </c:tx>
          <c:spPr>
            <a:gradFill>
              <a:gsLst>
                <a:gs pos="0">
                  <a:schemeClr val="accent2">
                    <a:lumMod val="50000"/>
                  </a:schemeClr>
                </a:gs>
                <a:gs pos="100000">
                  <a:schemeClr val="accent2">
                    <a:lumMod val="75000"/>
                  </a:schemeClr>
                </a:gs>
              </a:gsLst>
              <a:lin ang="16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AttritionByAgeGroup!$A$4:$A$9</c:f>
              <c:strCache>
                <c:ptCount val="5"/>
                <c:pt idx="0">
                  <c:v>25 - 34</c:v>
                </c:pt>
                <c:pt idx="1">
                  <c:v>35 - 44</c:v>
                </c:pt>
                <c:pt idx="2">
                  <c:v>Under 25</c:v>
                </c:pt>
                <c:pt idx="3">
                  <c:v>45 - 54</c:v>
                </c:pt>
                <c:pt idx="4">
                  <c:v>Over 55</c:v>
                </c:pt>
              </c:strCache>
            </c:strRef>
          </c:cat>
          <c:val>
            <c:numRef>
              <c:f>AttritionByAgeGroup!$B$4:$B$9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7DB-48C5-8210-17F912CCCCA5}"/>
            </c:ext>
          </c:extLst>
        </c:ser>
        <c:dLbls>
          <c:dLblPos val="outEnd"/>
          <c:showLegendKey val="0"/>
          <c:showVal val="1"/>
          <c:showCatName val="0"/>
          <c:showSerName val="0"/>
          <c:showPercent val="0"/>
          <c:showBubbleSize val="0"/>
        </c:dLbls>
        <c:gapWidth val="108"/>
        <c:overlap val="-27"/>
        <c:axId val="1560753056"/>
        <c:axId val="1558742992"/>
      </c:barChart>
      <c:catAx>
        <c:axId val="15607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58742992"/>
        <c:crosses val="autoZero"/>
        <c:auto val="1"/>
        <c:lblAlgn val="ctr"/>
        <c:lblOffset val="100"/>
        <c:noMultiLvlLbl val="0"/>
      </c:catAx>
      <c:valAx>
        <c:axId val="1558742992"/>
        <c:scaling>
          <c:orientation val="minMax"/>
        </c:scaling>
        <c:delete val="1"/>
        <c:axPos val="l"/>
        <c:numFmt formatCode="General" sourceLinked="1"/>
        <c:majorTickMark val="none"/>
        <c:minorTickMark val="none"/>
        <c:tickLblPos val="nextTo"/>
        <c:crossAx val="156075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7744EC9-C856-4721-ACD4-BECBAF3E4703}">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33268B76-F212-46F1-BE79-8987F8E32935}">
          <cx:tx>
            <cx:txData>
              <cx:f>_xlchart.v2.3</cx:f>
              <cx:v>Atrrition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E7744EC9-C856-4721-ACD4-BECBAF3E4703}">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33268B76-F212-46F1-BE79-8987F8E32935}">
          <cx:tx>
            <cx:txData>
              <cx:f>_xlchart.v2.8</cx:f>
              <cx:v>Atrrition</cx:v>
            </cx:txData>
          </cx:tx>
          <cx:spPr>
            <a:gradFill>
              <a:gsLst>
                <a:gs pos="0">
                  <a:schemeClr val="accent6">
                    <a:lumMod val="50000"/>
                  </a:schemeClr>
                </a:gs>
                <a:gs pos="100000">
                  <a:schemeClr val="accent6">
                    <a:lumMod val="75000"/>
                  </a:schemeClr>
                </a:gs>
              </a:gsLst>
              <a:lin ang="16800000" scaled="0"/>
            </a:gradFill>
          </cx:spPr>
          <cx:dataLabels>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4.png"/><Relationship Id="rId7" Type="http://schemas.openxmlformats.org/officeDocument/2006/relationships/image" Target="../media/image1.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3.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10.xml"/><Relationship Id="rId5" Type="http://schemas.openxmlformats.org/officeDocument/2006/relationships/image" Target="../media/image6.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8</xdr:col>
      <xdr:colOff>333375</xdr:colOff>
      <xdr:row>0</xdr:row>
      <xdr:rowOff>104775</xdr:rowOff>
    </xdr:from>
    <xdr:to>
      <xdr:col>11</xdr:col>
      <xdr:colOff>104775</xdr:colOff>
      <xdr:row>13</xdr:row>
      <xdr:rowOff>171450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41D06AB2-6828-42EA-982A-7782E345454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991350" y="104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204787</xdr:colOff>
      <xdr:row>5</xdr:row>
      <xdr:rowOff>190500</xdr:rowOff>
    </xdr:from>
    <xdr:to>
      <xdr:col>12</xdr:col>
      <xdr:colOff>571500</xdr:colOff>
      <xdr:row>10</xdr:row>
      <xdr:rowOff>19050</xdr:rowOff>
    </xdr:to>
    <xdr:graphicFrame macro="">
      <xdr:nvGraphicFramePr>
        <xdr:cNvPr id="4" name="Chart 3">
          <a:extLst>
            <a:ext uri="{FF2B5EF4-FFF2-40B4-BE49-F238E27FC236}">
              <a16:creationId xmlns:a16="http://schemas.microsoft.com/office/drawing/2014/main" id="{821D684A-091C-4BA8-8044-FB12BEDFA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366711</xdr:colOff>
      <xdr:row>12</xdr:row>
      <xdr:rowOff>66674</xdr:rowOff>
    </xdr:from>
    <xdr:to>
      <xdr:col>3</xdr:col>
      <xdr:colOff>295275</xdr:colOff>
      <xdr:row>17</xdr:row>
      <xdr:rowOff>190500</xdr:rowOff>
    </xdr:to>
    <xdr:graphicFrame macro="">
      <xdr:nvGraphicFramePr>
        <xdr:cNvPr id="6" name="Chart 5">
          <a:extLst>
            <a:ext uri="{FF2B5EF4-FFF2-40B4-BE49-F238E27FC236}">
              <a16:creationId xmlns:a16="http://schemas.microsoft.com/office/drawing/2014/main" id="{47F99536-AC40-4994-94AC-666991359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342900</xdr:colOff>
      <xdr:row>5</xdr:row>
      <xdr:rowOff>152400</xdr:rowOff>
    </xdr:from>
    <xdr:to>
      <xdr:col>11</xdr:col>
      <xdr:colOff>114300</xdr:colOff>
      <xdr:row>19</xdr:row>
      <xdr:rowOff>19050</xdr:rowOff>
    </xdr:to>
    <mc:AlternateContent xmlns:mc="http://schemas.openxmlformats.org/markup-compatibility/2006">
      <mc:Choice xmlns:a14="http://schemas.microsoft.com/office/drawing/2010/main" Requires="a14">
        <xdr:graphicFrame macro="">
          <xdr:nvGraphicFramePr>
            <xdr:cNvPr id="7" name="Education Field">
              <a:extLst>
                <a:ext uri="{FF2B5EF4-FFF2-40B4-BE49-F238E27FC236}">
                  <a16:creationId xmlns:a16="http://schemas.microsoft.com/office/drawing/2014/main" id="{A7938A54-CF8F-4028-B506-E57106ED795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7000875" y="1152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9525</xdr:rowOff>
    </xdr:from>
    <xdr:to>
      <xdr:col>8</xdr:col>
      <xdr:colOff>457200</xdr:colOff>
      <xdr:row>15</xdr:row>
      <xdr:rowOff>76200</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1228F256-7974-4137-BF93-C6D40EF7177C}"/>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5448300" y="409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xdr:colOff>
      <xdr:row>2</xdr:row>
      <xdr:rowOff>9525</xdr:rowOff>
    </xdr:from>
    <xdr:to>
      <xdr:col>11</xdr:col>
      <xdr:colOff>485775</xdr:colOff>
      <xdr:row>15</xdr:row>
      <xdr:rowOff>76200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29FC11FF-1641-41D1-BBC1-490A6F3FBF7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534275" y="409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12</xdr:row>
      <xdr:rowOff>0</xdr:rowOff>
    </xdr:from>
    <xdr:to>
      <xdr:col>2</xdr:col>
      <xdr:colOff>290513</xdr:colOff>
      <xdr:row>20</xdr:row>
      <xdr:rowOff>28575</xdr:rowOff>
    </xdr:to>
    <xdr:graphicFrame macro="">
      <xdr:nvGraphicFramePr>
        <xdr:cNvPr id="4" name="Chart 3">
          <a:extLst>
            <a:ext uri="{FF2B5EF4-FFF2-40B4-BE49-F238E27FC236}">
              <a16:creationId xmlns:a16="http://schemas.microsoft.com/office/drawing/2014/main" id="{8CDC849B-4619-42B6-8884-547CA70AD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685799</xdr:colOff>
      <xdr:row>2</xdr:row>
      <xdr:rowOff>0</xdr:rowOff>
    </xdr:from>
    <xdr:to>
      <xdr:col>7</xdr:col>
      <xdr:colOff>142874</xdr:colOff>
      <xdr:row>9</xdr:row>
      <xdr:rowOff>190500</xdr:rowOff>
    </xdr:to>
    <xdr:graphicFrame macro="">
      <xdr:nvGraphicFramePr>
        <xdr:cNvPr id="2" name="Chart 1">
          <a:extLst>
            <a:ext uri="{FF2B5EF4-FFF2-40B4-BE49-F238E27FC236}">
              <a16:creationId xmlns:a16="http://schemas.microsoft.com/office/drawing/2014/main" id="{7151EE0D-1DCB-4BBC-B554-9BB171D8E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566737</xdr:colOff>
      <xdr:row>2</xdr:row>
      <xdr:rowOff>114300</xdr:rowOff>
    </xdr:from>
    <xdr:to>
      <xdr:col>12</xdr:col>
      <xdr:colOff>338137</xdr:colOff>
      <xdr:row>16</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67F83B2-2258-44B9-8AFB-0F4E5DD2DC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05662" y="5143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6</xdr:col>
      <xdr:colOff>504825</xdr:colOff>
      <xdr:row>10</xdr:row>
      <xdr:rowOff>142875</xdr:rowOff>
    </xdr:to>
    <xdr:graphicFrame macro="">
      <xdr:nvGraphicFramePr>
        <xdr:cNvPr id="2" name="Chart 1">
          <a:extLst>
            <a:ext uri="{FF2B5EF4-FFF2-40B4-BE49-F238E27FC236}">
              <a16:creationId xmlns:a16="http://schemas.microsoft.com/office/drawing/2014/main" id="{A1A1DF69-DD35-445E-8EB2-412F4FD76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219075</xdr:colOff>
      <xdr:row>11</xdr:row>
      <xdr:rowOff>104775</xdr:rowOff>
    </xdr:to>
    <xdr:graphicFrame macro="">
      <xdr:nvGraphicFramePr>
        <xdr:cNvPr id="2" name="Chart 1">
          <a:extLst>
            <a:ext uri="{FF2B5EF4-FFF2-40B4-BE49-F238E27FC236}">
              <a16:creationId xmlns:a16="http://schemas.microsoft.com/office/drawing/2014/main" id="{FDB98586-E177-4F68-B7BE-6623D86CC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433387</xdr:colOff>
      <xdr:row>7</xdr:row>
      <xdr:rowOff>9525</xdr:rowOff>
    </xdr:from>
    <xdr:to>
      <xdr:col>8</xdr:col>
      <xdr:colOff>604837</xdr:colOff>
      <xdr:row>20</xdr:row>
      <xdr:rowOff>152400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F4E3C6A-7F92-44A7-94A2-98B59B0851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33687" y="14097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428625</xdr:colOff>
      <xdr:row>1</xdr:row>
      <xdr:rowOff>133350</xdr:rowOff>
    </xdr:from>
    <xdr:to>
      <xdr:col>14</xdr:col>
      <xdr:colOff>200025</xdr:colOff>
      <xdr:row>15</xdr:row>
      <xdr:rowOff>0</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F9671184-11D2-4EC6-86B9-5D73D94442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286875" y="333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619125</xdr:colOff>
      <xdr:row>1</xdr:row>
      <xdr:rowOff>133350</xdr:rowOff>
    </xdr:from>
    <xdr:to>
      <xdr:col>11</xdr:col>
      <xdr:colOff>390525</xdr:colOff>
      <xdr:row>15</xdr:row>
      <xdr:rowOff>0</xdr:rowOff>
    </xdr:to>
    <mc:AlternateContent xmlns:mc="http://schemas.openxmlformats.org/markup-compatibility/2006">
      <mc:Choice xmlns:a14="http://schemas.microsoft.com/office/drawing/2010/main" Requires="a14">
        <xdr:graphicFrame macro="">
          <xdr:nvGraphicFramePr>
            <xdr:cNvPr id="5" name="Education Field 2">
              <a:extLst>
                <a:ext uri="{FF2B5EF4-FFF2-40B4-BE49-F238E27FC236}">
                  <a16:creationId xmlns:a16="http://schemas.microsoft.com/office/drawing/2014/main" id="{CA004C52-B9FD-4AF6-890E-5A6FB2F3370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419975" y="333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2</xdr:row>
      <xdr:rowOff>0</xdr:rowOff>
    </xdr:from>
    <xdr:ext cx="668450" cy="676277"/>
    <xdr:pic>
      <xdr:nvPicPr>
        <xdr:cNvPr id="9" name="image1.png">
          <a:extLst>
            <a:ext uri="{FF2B5EF4-FFF2-40B4-BE49-F238E27FC236}">
              <a16:creationId xmlns:a16="http://schemas.microsoft.com/office/drawing/2014/main" id="{38D342DE-52AD-418D-AFC7-42E5A5708FC2}"/>
            </a:ext>
          </a:extLst>
        </xdr:cNvPr>
        <xdr:cNvPicPr preferRelativeResize="0"/>
      </xdr:nvPicPr>
      <xdr:blipFill>
        <a:blip xmlns:r="http://schemas.openxmlformats.org/officeDocument/2006/relationships" r:embed="rId1" cstate="print"/>
        <a:stretch>
          <a:fillRect/>
        </a:stretch>
      </xdr:blipFill>
      <xdr:spPr>
        <a:xfrm>
          <a:off x="0" y="381000"/>
          <a:ext cx="668450" cy="676277"/>
        </a:xfrm>
        <a:prstGeom prst="rect">
          <a:avLst/>
        </a:prstGeom>
        <a:noFill/>
      </xdr:spPr>
    </xdr:pic>
    <xdr:clientData fLocksWithSheet="0"/>
  </xdr:oneCellAnchor>
  <xdr:oneCellAnchor>
    <xdr:from>
      <xdr:col>2</xdr:col>
      <xdr:colOff>0</xdr:colOff>
      <xdr:row>2</xdr:row>
      <xdr:rowOff>0</xdr:rowOff>
    </xdr:from>
    <xdr:ext cx="333375" cy="314325"/>
    <xdr:pic>
      <xdr:nvPicPr>
        <xdr:cNvPr id="10" name="image4.png">
          <a:extLst>
            <a:ext uri="{FF2B5EF4-FFF2-40B4-BE49-F238E27FC236}">
              <a16:creationId xmlns:a16="http://schemas.microsoft.com/office/drawing/2014/main" id="{82B70A17-5ED0-4EBB-A0D0-7495AF827B7C}"/>
            </a:ext>
          </a:extLst>
        </xdr:cNvPr>
        <xdr:cNvPicPr preferRelativeResize="0"/>
      </xdr:nvPicPr>
      <xdr:blipFill>
        <a:blip xmlns:r="http://schemas.openxmlformats.org/officeDocument/2006/relationships" r:embed="rId2" cstate="print"/>
        <a:stretch>
          <a:fillRect/>
        </a:stretch>
      </xdr:blipFill>
      <xdr:spPr>
        <a:xfrm>
          <a:off x="1295400" y="381000"/>
          <a:ext cx="333375" cy="314325"/>
        </a:xfrm>
        <a:prstGeom prst="rect">
          <a:avLst/>
        </a:prstGeom>
        <a:noFill/>
        <a:ln>
          <a:noFill/>
        </a:ln>
      </xdr:spPr>
    </xdr:pic>
    <xdr:clientData fLocksWithSheet="0"/>
  </xdr:oneCellAnchor>
  <xdr:oneCellAnchor>
    <xdr:from>
      <xdr:col>3</xdr:col>
      <xdr:colOff>0</xdr:colOff>
      <xdr:row>2</xdr:row>
      <xdr:rowOff>0</xdr:rowOff>
    </xdr:from>
    <xdr:ext cx="505164" cy="485776"/>
    <xdr:pic>
      <xdr:nvPicPr>
        <xdr:cNvPr id="11" name="image7.png">
          <a:extLst>
            <a:ext uri="{FF2B5EF4-FFF2-40B4-BE49-F238E27FC236}">
              <a16:creationId xmlns:a16="http://schemas.microsoft.com/office/drawing/2014/main" id="{3A40DCC8-5A52-40AD-8544-3D6076FE8524}"/>
            </a:ext>
          </a:extLst>
        </xdr:cNvPr>
        <xdr:cNvPicPr preferRelativeResize="0"/>
      </xdr:nvPicPr>
      <xdr:blipFill>
        <a:blip xmlns:r="http://schemas.openxmlformats.org/officeDocument/2006/relationships" r:embed="rId3" cstate="print"/>
        <a:stretch>
          <a:fillRect/>
        </a:stretch>
      </xdr:blipFill>
      <xdr:spPr>
        <a:xfrm>
          <a:off x="1943100" y="381000"/>
          <a:ext cx="505164" cy="485776"/>
        </a:xfrm>
        <a:prstGeom prst="rect">
          <a:avLst/>
        </a:prstGeom>
        <a:noFill/>
      </xdr:spPr>
    </xdr:pic>
    <xdr:clientData fLocksWithSheet="0"/>
  </xdr:oneCellAnchor>
  <xdr:oneCellAnchor>
    <xdr:from>
      <xdr:col>4</xdr:col>
      <xdr:colOff>0</xdr:colOff>
      <xdr:row>2</xdr:row>
      <xdr:rowOff>0</xdr:rowOff>
    </xdr:from>
    <xdr:ext cx="477949" cy="349704"/>
    <xdr:pic>
      <xdr:nvPicPr>
        <xdr:cNvPr id="12" name="image5.png">
          <a:extLst>
            <a:ext uri="{FF2B5EF4-FFF2-40B4-BE49-F238E27FC236}">
              <a16:creationId xmlns:a16="http://schemas.microsoft.com/office/drawing/2014/main" id="{43906A88-B465-4A1E-BADC-546DDA208C44}"/>
            </a:ext>
          </a:extLst>
        </xdr:cNvPr>
        <xdr:cNvPicPr preferRelativeResize="0"/>
      </xdr:nvPicPr>
      <xdr:blipFill>
        <a:blip xmlns:r="http://schemas.openxmlformats.org/officeDocument/2006/relationships" r:embed="rId4" cstate="print"/>
        <a:stretch>
          <a:fillRect/>
        </a:stretch>
      </xdr:blipFill>
      <xdr:spPr>
        <a:xfrm>
          <a:off x="2590800" y="381000"/>
          <a:ext cx="477949" cy="349704"/>
        </a:xfrm>
        <a:prstGeom prst="rect">
          <a:avLst/>
        </a:prstGeom>
        <a:noFill/>
      </xdr:spPr>
    </xdr:pic>
    <xdr:clientData fLocksWithSheet="0"/>
  </xdr:oneCellAnchor>
  <xdr:oneCellAnchor>
    <xdr:from>
      <xdr:col>5</xdr:col>
      <xdr:colOff>0</xdr:colOff>
      <xdr:row>2</xdr:row>
      <xdr:rowOff>0</xdr:rowOff>
    </xdr:from>
    <xdr:ext cx="409914" cy="349705"/>
    <xdr:pic>
      <xdr:nvPicPr>
        <xdr:cNvPr id="13" name="image2.png">
          <a:extLst>
            <a:ext uri="{FF2B5EF4-FFF2-40B4-BE49-F238E27FC236}">
              <a16:creationId xmlns:a16="http://schemas.microsoft.com/office/drawing/2014/main" id="{92AF605A-204F-452F-A762-E8B3FB2841CD}"/>
            </a:ext>
          </a:extLst>
        </xdr:cNvPr>
        <xdr:cNvPicPr preferRelativeResize="0"/>
      </xdr:nvPicPr>
      <xdr:blipFill>
        <a:blip xmlns:r="http://schemas.openxmlformats.org/officeDocument/2006/relationships" r:embed="rId5" cstate="print"/>
        <a:stretch>
          <a:fillRect/>
        </a:stretch>
      </xdr:blipFill>
      <xdr:spPr>
        <a:xfrm>
          <a:off x="3238500" y="381000"/>
          <a:ext cx="409914" cy="349705"/>
        </a:xfrm>
        <a:prstGeom prst="rect">
          <a:avLst/>
        </a:prstGeom>
        <a:noFill/>
      </xdr:spPr>
    </xdr:pic>
    <xdr:clientData fLocksWithSheet="0"/>
  </xdr:oneCellAnchor>
  <xdr:oneCellAnchor>
    <xdr:from>
      <xdr:col>6</xdr:col>
      <xdr:colOff>0</xdr:colOff>
      <xdr:row>2</xdr:row>
      <xdr:rowOff>0</xdr:rowOff>
    </xdr:from>
    <xdr:ext cx="382699" cy="363311"/>
    <xdr:pic>
      <xdr:nvPicPr>
        <xdr:cNvPr id="14" name="image6.png">
          <a:extLst>
            <a:ext uri="{FF2B5EF4-FFF2-40B4-BE49-F238E27FC236}">
              <a16:creationId xmlns:a16="http://schemas.microsoft.com/office/drawing/2014/main" id="{C890EF31-28D9-4EE0-988D-84A958E6784D}"/>
            </a:ext>
          </a:extLst>
        </xdr:cNvPr>
        <xdr:cNvPicPr preferRelativeResize="0"/>
      </xdr:nvPicPr>
      <xdr:blipFill>
        <a:blip xmlns:r="http://schemas.openxmlformats.org/officeDocument/2006/relationships" r:embed="rId6" cstate="print"/>
        <a:stretch>
          <a:fillRect/>
        </a:stretch>
      </xdr:blipFill>
      <xdr:spPr>
        <a:xfrm>
          <a:off x="3886200" y="381000"/>
          <a:ext cx="382699" cy="363311"/>
        </a:xfrm>
        <a:prstGeom prst="rect">
          <a:avLst/>
        </a:prstGeom>
        <a:noFill/>
      </xdr:spPr>
    </xdr:pic>
    <xdr:clientData fLocksWithSheet="0"/>
  </xdr:oneCellAnchor>
  <xdr:oneCellAnchor>
    <xdr:from>
      <xdr:col>0</xdr:col>
      <xdr:colOff>0</xdr:colOff>
      <xdr:row>7</xdr:row>
      <xdr:rowOff>0</xdr:rowOff>
    </xdr:from>
    <xdr:ext cx="723900" cy="628650"/>
    <xdr:pic>
      <xdr:nvPicPr>
        <xdr:cNvPr id="15" name="image3.png">
          <a:extLst>
            <a:ext uri="{FF2B5EF4-FFF2-40B4-BE49-F238E27FC236}">
              <a16:creationId xmlns:a16="http://schemas.microsoft.com/office/drawing/2014/main" id="{CE3FB2B1-D830-469D-A8AC-57224FC6664D}"/>
            </a:ext>
          </a:extLst>
        </xdr:cNvPr>
        <xdr:cNvPicPr preferRelativeResize="0"/>
      </xdr:nvPicPr>
      <xdr:blipFill>
        <a:blip xmlns:r="http://schemas.openxmlformats.org/officeDocument/2006/relationships" r:embed="rId7" cstate="print"/>
        <a:stretch>
          <a:fillRect/>
        </a:stretch>
      </xdr:blipFill>
      <xdr:spPr>
        <a:xfrm>
          <a:off x="0" y="1333500"/>
          <a:ext cx="723900" cy="628650"/>
        </a:xfrm>
        <a:prstGeom prst="rect">
          <a:avLst/>
        </a:prstGeom>
        <a:noFill/>
        <a:ln>
          <a:noFill/>
        </a:ln>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11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624228</xdr:colOff>
      <xdr:row>1</xdr:row>
      <xdr:rowOff>167367</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624228" y="357867"/>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58474" y="1201381"/>
              <a:ext cx="13276751" cy="1013181"/>
              <a:chOff x="1858580" y="1201381"/>
              <a:chExt cx="13390945" cy="1013181"/>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58580" y="1201381"/>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163286</xdr:colOff>
      <xdr:row>7</xdr:row>
      <xdr:rowOff>81644</xdr:rowOff>
    </xdr:from>
    <xdr:to>
      <xdr:col>4</xdr:col>
      <xdr:colOff>285751</xdr:colOff>
      <xdr:row>9</xdr:row>
      <xdr:rowOff>81643</xdr:rowOff>
    </xdr:to>
    <xdr:sp macro="" textlink="">
      <xdr:nvSpPr>
        <xdr:cNvPr id="3" name="TextBox 2">
          <a:extLst>
            <a:ext uri="{FF2B5EF4-FFF2-40B4-BE49-F238E27FC236}">
              <a16:creationId xmlns:a16="http://schemas.microsoft.com/office/drawing/2014/main" id="{6E921A98-B785-479E-86CC-12CAF7361FB1}"/>
            </a:ext>
          </a:extLst>
        </xdr:cNvPr>
        <xdr:cNvSpPr txBox="1"/>
      </xdr:nvSpPr>
      <xdr:spPr>
        <a:xfrm>
          <a:off x="816429" y="1415144"/>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A02020204030203" pitchFamily="34" charset="0"/>
            </a:rPr>
            <a:t>TOTAL </a:t>
          </a:r>
          <a:r>
            <a:rPr lang="en-IN" sz="1500">
              <a:solidFill>
                <a:srgbClr val="C00000"/>
              </a:solidFill>
              <a:latin typeface="Lato Black" panose="020F0A02020204030203" pitchFamily="34" charset="0"/>
            </a:rPr>
            <a:t>EMPLOYEES</a:t>
          </a:r>
        </a:p>
      </xdr:txBody>
    </xdr:sp>
    <xdr:clientData/>
  </xdr:twoCellAnchor>
  <xdr:twoCellAnchor>
    <xdr:from>
      <xdr:col>1</xdr:col>
      <xdr:colOff>353785</xdr:colOff>
      <xdr:row>9</xdr:row>
      <xdr:rowOff>13607</xdr:rowOff>
    </xdr:from>
    <xdr:to>
      <xdr:col>3</xdr:col>
      <xdr:colOff>571499</xdr:colOff>
      <xdr:row>11</xdr:row>
      <xdr:rowOff>95250</xdr:rowOff>
    </xdr:to>
    <xdr:sp macro="" textlink="KPI!A8">
      <xdr:nvSpPr>
        <xdr:cNvPr id="5" name="TextBox 4">
          <a:extLst>
            <a:ext uri="{FF2B5EF4-FFF2-40B4-BE49-F238E27FC236}">
              <a16:creationId xmlns:a16="http://schemas.microsoft.com/office/drawing/2014/main" id="{6D67F35C-DCEE-42C5-80A0-4B8A5AC8621B}"/>
            </a:ext>
          </a:extLst>
        </xdr:cNvPr>
        <xdr:cNvSpPr txBox="1"/>
      </xdr:nvSpPr>
      <xdr:spPr>
        <a:xfrm>
          <a:off x="1006928" y="1728107"/>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259E27-3086-42E1-A9E0-160D30827479}" type="TxLink">
            <a:rPr lang="en-US" sz="2400" b="0" i="0" u="none" strike="noStrike">
              <a:solidFill>
                <a:srgbClr val="002060"/>
              </a:solidFill>
              <a:latin typeface="Lato Black" panose="020F0A02020204030203" pitchFamily="34" charset="0"/>
              <a:cs typeface="Calibri"/>
            </a:rPr>
            <a:pPr algn="ctr"/>
            <a:t>1470</a:t>
          </a:fld>
          <a:endParaRPr lang="en-IN" sz="2400">
            <a:solidFill>
              <a:srgbClr val="002060"/>
            </a:solidFill>
            <a:latin typeface="Lato Black" panose="020F0A02020204030203" pitchFamily="34" charset="0"/>
          </a:endParaRPr>
        </a:p>
      </xdr:txBody>
    </xdr:sp>
    <xdr:clientData/>
  </xdr:twoCellAnchor>
  <xdr:twoCellAnchor>
    <xdr:from>
      <xdr:col>5</xdr:col>
      <xdr:colOff>379302</xdr:colOff>
      <xdr:row>7</xdr:row>
      <xdr:rowOff>99331</xdr:rowOff>
    </xdr:from>
    <xdr:to>
      <xdr:col>8</xdr:col>
      <xdr:colOff>501766</xdr:colOff>
      <xdr:row>9</xdr:row>
      <xdr:rowOff>99330</xdr:rowOff>
    </xdr:to>
    <xdr:sp macro="" textlink="">
      <xdr:nvSpPr>
        <xdr:cNvPr id="31" name="TextBox 30">
          <a:extLst>
            <a:ext uri="{FF2B5EF4-FFF2-40B4-BE49-F238E27FC236}">
              <a16:creationId xmlns:a16="http://schemas.microsoft.com/office/drawing/2014/main" id="{55B5D226-D65D-4F09-937B-FA8AC5C7C7B4}"/>
            </a:ext>
          </a:extLst>
        </xdr:cNvPr>
        <xdr:cNvSpPr txBox="1"/>
      </xdr:nvSpPr>
      <xdr:spPr>
        <a:xfrm>
          <a:off x="3645016" y="1432831"/>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ATTRITION</a:t>
          </a:r>
        </a:p>
      </xdr:txBody>
    </xdr:sp>
    <xdr:clientData/>
  </xdr:twoCellAnchor>
  <xdr:twoCellAnchor>
    <xdr:from>
      <xdr:col>5</xdr:col>
      <xdr:colOff>569800</xdr:colOff>
      <xdr:row>9</xdr:row>
      <xdr:rowOff>4080</xdr:rowOff>
    </xdr:from>
    <xdr:to>
      <xdr:col>8</xdr:col>
      <xdr:colOff>134371</xdr:colOff>
      <xdr:row>11</xdr:row>
      <xdr:rowOff>85723</xdr:rowOff>
    </xdr:to>
    <xdr:sp macro="" textlink="KPI!C8">
      <xdr:nvSpPr>
        <xdr:cNvPr id="32" name="TextBox 31">
          <a:extLst>
            <a:ext uri="{FF2B5EF4-FFF2-40B4-BE49-F238E27FC236}">
              <a16:creationId xmlns:a16="http://schemas.microsoft.com/office/drawing/2014/main" id="{13BB2CFF-399F-480D-80B6-5A4717746711}"/>
            </a:ext>
          </a:extLst>
        </xdr:cNvPr>
        <xdr:cNvSpPr txBox="1"/>
      </xdr:nvSpPr>
      <xdr:spPr>
        <a:xfrm>
          <a:off x="3835514" y="1718580"/>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4D27BC-39B5-4388-829C-A57F17FE22AD}" type="TxLink">
            <a:rPr lang="en-US" sz="2600" b="0" i="0" u="none" strike="noStrike">
              <a:solidFill>
                <a:srgbClr val="002060"/>
              </a:solidFill>
              <a:latin typeface="Lato Black" panose="020F0A02020204030203" pitchFamily="34" charset="0"/>
              <a:cs typeface="Calibri"/>
            </a:rPr>
            <a:t>237</a:t>
          </a:fld>
          <a:endParaRPr lang="en-IN" sz="2600">
            <a:solidFill>
              <a:srgbClr val="002060"/>
            </a:solidFill>
            <a:latin typeface="Lato Black" panose="020F0A02020204030203" pitchFamily="34" charset="0"/>
          </a:endParaRPr>
        </a:p>
      </xdr:txBody>
    </xdr:sp>
    <xdr:clientData/>
  </xdr:twoCellAnchor>
  <xdr:twoCellAnchor>
    <xdr:from>
      <xdr:col>10</xdr:col>
      <xdr:colOff>93549</xdr:colOff>
      <xdr:row>7</xdr:row>
      <xdr:rowOff>85724</xdr:rowOff>
    </xdr:from>
    <xdr:to>
      <xdr:col>13</xdr:col>
      <xdr:colOff>216014</xdr:colOff>
      <xdr:row>9</xdr:row>
      <xdr:rowOff>85723</xdr:rowOff>
    </xdr:to>
    <xdr:sp macro="" textlink="">
      <xdr:nvSpPr>
        <xdr:cNvPr id="33" name="TextBox 32">
          <a:extLst>
            <a:ext uri="{FF2B5EF4-FFF2-40B4-BE49-F238E27FC236}">
              <a16:creationId xmlns:a16="http://schemas.microsoft.com/office/drawing/2014/main" id="{F0C814C7-1239-4234-B360-F8F23A2FAB77}"/>
            </a:ext>
          </a:extLst>
        </xdr:cNvPr>
        <xdr:cNvSpPr txBox="1"/>
      </xdr:nvSpPr>
      <xdr:spPr>
        <a:xfrm>
          <a:off x="6624978" y="1419224"/>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ACTIVE EMPLOYEES</a:t>
          </a:r>
        </a:p>
      </xdr:txBody>
    </xdr:sp>
    <xdr:clientData/>
  </xdr:twoCellAnchor>
  <xdr:twoCellAnchor>
    <xdr:from>
      <xdr:col>10</xdr:col>
      <xdr:colOff>284048</xdr:colOff>
      <xdr:row>9</xdr:row>
      <xdr:rowOff>17687</xdr:rowOff>
    </xdr:from>
    <xdr:to>
      <xdr:col>12</xdr:col>
      <xdr:colOff>501763</xdr:colOff>
      <xdr:row>11</xdr:row>
      <xdr:rowOff>99330</xdr:rowOff>
    </xdr:to>
    <xdr:sp macro="" textlink="KPI!D8">
      <xdr:nvSpPr>
        <xdr:cNvPr id="34" name="TextBox 33">
          <a:extLst>
            <a:ext uri="{FF2B5EF4-FFF2-40B4-BE49-F238E27FC236}">
              <a16:creationId xmlns:a16="http://schemas.microsoft.com/office/drawing/2014/main" id="{B8B22D25-8D6E-4041-BFFD-F6BC54C6CB23}"/>
            </a:ext>
          </a:extLst>
        </xdr:cNvPr>
        <xdr:cNvSpPr txBox="1"/>
      </xdr:nvSpPr>
      <xdr:spPr>
        <a:xfrm>
          <a:off x="6815477" y="1732187"/>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1FC72E-DEAA-4154-9F07-931A985EC399}" type="TxLink">
            <a:rPr lang="en-US" sz="2600" b="0" i="0" u="none" strike="noStrike">
              <a:solidFill>
                <a:srgbClr val="002060"/>
              </a:solidFill>
              <a:latin typeface="Lato Black" panose="020F0A02020204030203" pitchFamily="34" charset="0"/>
              <a:cs typeface="Calibri"/>
            </a:rPr>
            <a:t>1233</a:t>
          </a:fld>
          <a:endParaRPr lang="en-IN" sz="2600">
            <a:solidFill>
              <a:srgbClr val="002060"/>
            </a:solidFill>
            <a:latin typeface="Lato Black" panose="020F0A02020204030203" pitchFamily="34" charset="0"/>
          </a:endParaRPr>
        </a:p>
      </xdr:txBody>
    </xdr:sp>
    <xdr:clientData/>
  </xdr:twoCellAnchor>
  <xdr:twoCellAnchor>
    <xdr:from>
      <xdr:col>14</xdr:col>
      <xdr:colOff>488158</xdr:colOff>
      <xdr:row>7</xdr:row>
      <xdr:rowOff>72117</xdr:rowOff>
    </xdr:from>
    <xdr:to>
      <xdr:col>17</xdr:col>
      <xdr:colOff>610622</xdr:colOff>
      <xdr:row>9</xdr:row>
      <xdr:rowOff>72116</xdr:rowOff>
    </xdr:to>
    <xdr:sp macro="" textlink="">
      <xdr:nvSpPr>
        <xdr:cNvPr id="35" name="TextBox 34">
          <a:extLst>
            <a:ext uri="{FF2B5EF4-FFF2-40B4-BE49-F238E27FC236}">
              <a16:creationId xmlns:a16="http://schemas.microsoft.com/office/drawing/2014/main" id="{BFE7FA1F-5E0A-4BCC-A01C-35585C291A16}"/>
            </a:ext>
          </a:extLst>
        </xdr:cNvPr>
        <xdr:cNvSpPr txBox="1"/>
      </xdr:nvSpPr>
      <xdr:spPr>
        <a:xfrm>
          <a:off x="9632158" y="1405617"/>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ATTITION</a:t>
          </a:r>
          <a:r>
            <a:rPr lang="en-IN" sz="1500" baseline="0">
              <a:solidFill>
                <a:srgbClr val="C00000"/>
              </a:solidFill>
              <a:latin typeface="Lato Black" panose="020F0A02020204030203" pitchFamily="34" charset="0"/>
            </a:rPr>
            <a:t> RATE</a:t>
          </a:r>
          <a:endParaRPr lang="en-IN" sz="1500">
            <a:solidFill>
              <a:srgbClr val="C00000"/>
            </a:solidFill>
            <a:latin typeface="Lato Black" panose="020F0A02020204030203" pitchFamily="34" charset="0"/>
          </a:endParaRPr>
        </a:p>
      </xdr:txBody>
    </xdr:sp>
    <xdr:clientData/>
  </xdr:twoCellAnchor>
  <xdr:twoCellAnchor>
    <xdr:from>
      <xdr:col>15</xdr:col>
      <xdr:colOff>25514</xdr:colOff>
      <xdr:row>9</xdr:row>
      <xdr:rowOff>4080</xdr:rowOff>
    </xdr:from>
    <xdr:to>
      <xdr:col>17</xdr:col>
      <xdr:colOff>243228</xdr:colOff>
      <xdr:row>11</xdr:row>
      <xdr:rowOff>85723</xdr:rowOff>
    </xdr:to>
    <xdr:sp macro="" textlink="KPI!E8">
      <xdr:nvSpPr>
        <xdr:cNvPr id="36" name="TextBox 35">
          <a:extLst>
            <a:ext uri="{FF2B5EF4-FFF2-40B4-BE49-F238E27FC236}">
              <a16:creationId xmlns:a16="http://schemas.microsoft.com/office/drawing/2014/main" id="{C736096F-6585-4108-8D27-12618B9BD5FD}"/>
            </a:ext>
          </a:extLst>
        </xdr:cNvPr>
        <xdr:cNvSpPr txBox="1"/>
      </xdr:nvSpPr>
      <xdr:spPr>
        <a:xfrm>
          <a:off x="9822657" y="1718580"/>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E06744-20CA-4AD8-A6CD-213F1612D02D}" type="TxLink">
            <a:rPr lang="en-US" sz="2600" b="0" i="0" u="none" strike="noStrike">
              <a:solidFill>
                <a:srgbClr val="002060"/>
              </a:solidFill>
              <a:latin typeface="Lato Black" panose="020F0A02020204030203" pitchFamily="34" charset="0"/>
              <a:cs typeface="Calibri"/>
            </a:rPr>
            <a:t>16.12%</a:t>
          </a:fld>
          <a:endParaRPr lang="en-IN" sz="2600">
            <a:solidFill>
              <a:srgbClr val="002060"/>
            </a:solidFill>
            <a:latin typeface="Lato Black" panose="020F0A02020204030203" pitchFamily="34" charset="0"/>
          </a:endParaRPr>
        </a:p>
      </xdr:txBody>
    </xdr:sp>
    <xdr:clientData/>
  </xdr:twoCellAnchor>
  <xdr:twoCellAnchor>
    <xdr:from>
      <xdr:col>19</xdr:col>
      <xdr:colOff>120764</xdr:colOff>
      <xdr:row>7</xdr:row>
      <xdr:rowOff>85724</xdr:rowOff>
    </xdr:from>
    <xdr:to>
      <xdr:col>22</xdr:col>
      <xdr:colOff>243228</xdr:colOff>
      <xdr:row>9</xdr:row>
      <xdr:rowOff>85723</xdr:rowOff>
    </xdr:to>
    <xdr:sp macro="" textlink="">
      <xdr:nvSpPr>
        <xdr:cNvPr id="37" name="TextBox 36">
          <a:extLst>
            <a:ext uri="{FF2B5EF4-FFF2-40B4-BE49-F238E27FC236}">
              <a16:creationId xmlns:a16="http://schemas.microsoft.com/office/drawing/2014/main" id="{269D969F-3B83-4418-AC34-0F1FEEA9FB2F}"/>
            </a:ext>
          </a:extLst>
        </xdr:cNvPr>
        <xdr:cNvSpPr txBox="1"/>
      </xdr:nvSpPr>
      <xdr:spPr>
        <a:xfrm>
          <a:off x="12530478" y="1419224"/>
          <a:ext cx="2081893"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AVERAGE</a:t>
          </a:r>
          <a:r>
            <a:rPr lang="en-IN" sz="1500" baseline="0">
              <a:solidFill>
                <a:srgbClr val="C00000"/>
              </a:solidFill>
              <a:latin typeface="Lato Black" panose="020F0A02020204030203" pitchFamily="34" charset="0"/>
            </a:rPr>
            <a:t> AGE</a:t>
          </a:r>
          <a:endParaRPr lang="en-IN" sz="1500">
            <a:solidFill>
              <a:srgbClr val="C00000"/>
            </a:solidFill>
            <a:latin typeface="Lato Black" panose="020F0A02020204030203" pitchFamily="34" charset="0"/>
          </a:endParaRPr>
        </a:p>
      </xdr:txBody>
    </xdr:sp>
    <xdr:clientData/>
  </xdr:twoCellAnchor>
  <xdr:twoCellAnchor>
    <xdr:from>
      <xdr:col>19</xdr:col>
      <xdr:colOff>311263</xdr:colOff>
      <xdr:row>9</xdr:row>
      <xdr:rowOff>17686</xdr:rowOff>
    </xdr:from>
    <xdr:to>
      <xdr:col>21</xdr:col>
      <xdr:colOff>528977</xdr:colOff>
      <xdr:row>11</xdr:row>
      <xdr:rowOff>99329</xdr:rowOff>
    </xdr:to>
    <xdr:sp macro="" textlink="KPI!B8">
      <xdr:nvSpPr>
        <xdr:cNvPr id="38" name="TextBox 37">
          <a:extLst>
            <a:ext uri="{FF2B5EF4-FFF2-40B4-BE49-F238E27FC236}">
              <a16:creationId xmlns:a16="http://schemas.microsoft.com/office/drawing/2014/main" id="{1045E61B-2F60-4453-BB29-317F1DE9E681}"/>
            </a:ext>
          </a:extLst>
        </xdr:cNvPr>
        <xdr:cNvSpPr txBox="1"/>
      </xdr:nvSpPr>
      <xdr:spPr>
        <a:xfrm>
          <a:off x="12720977" y="1732186"/>
          <a:ext cx="1524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361E69-AB74-4117-85FB-351D77E6839C}" type="TxLink">
            <a:rPr lang="en-US" sz="2600" b="0" i="0" u="none" strike="noStrike">
              <a:solidFill>
                <a:srgbClr val="002060"/>
              </a:solidFill>
              <a:latin typeface="Lato Black" panose="020F0A02020204030203" pitchFamily="34" charset="0"/>
              <a:cs typeface="Calibri"/>
            </a:rPr>
            <a:t>37</a:t>
          </a:fld>
          <a:endParaRPr lang="en-IN" sz="2600">
            <a:solidFill>
              <a:srgbClr val="002060"/>
            </a:solidFill>
            <a:latin typeface="Lato Black" panose="020F0A02020204030203" pitchFamily="34" charset="0"/>
          </a:endParaRPr>
        </a:p>
      </xdr:txBody>
    </xdr:sp>
    <xdr:clientData/>
  </xdr:twoCellAnchor>
  <xdr:oneCellAnchor>
    <xdr:from>
      <xdr:col>4</xdr:col>
      <xdr:colOff>338479</xdr:colOff>
      <xdr:row>7</xdr:row>
      <xdr:rowOff>72118</xdr:rowOff>
    </xdr:from>
    <xdr:ext cx="333375" cy="314325"/>
    <xdr:pic>
      <xdr:nvPicPr>
        <xdr:cNvPr id="39" name="image4.png">
          <a:extLst>
            <a:ext uri="{FF2B5EF4-FFF2-40B4-BE49-F238E27FC236}">
              <a16:creationId xmlns:a16="http://schemas.microsoft.com/office/drawing/2014/main" id="{DD43B98A-3F87-4317-9CE4-34F638EB642D}"/>
            </a:ext>
          </a:extLst>
        </xdr:cNvPr>
        <xdr:cNvPicPr preferRelativeResize="0"/>
      </xdr:nvPicPr>
      <xdr:blipFill>
        <a:blip xmlns:r="http://schemas.openxmlformats.org/officeDocument/2006/relationships" r:embed="rId1" cstate="print"/>
        <a:stretch>
          <a:fillRect/>
        </a:stretch>
      </xdr:blipFill>
      <xdr:spPr>
        <a:xfrm>
          <a:off x="2951050" y="1405618"/>
          <a:ext cx="333375" cy="314325"/>
        </a:xfrm>
        <a:prstGeom prst="rect">
          <a:avLst/>
        </a:prstGeom>
        <a:noFill/>
        <a:ln>
          <a:noFill/>
        </a:ln>
      </xdr:spPr>
    </xdr:pic>
    <xdr:clientData fLocksWithSheet="0"/>
  </xdr:oneCellAnchor>
  <xdr:oneCellAnchor>
    <xdr:from>
      <xdr:col>8</xdr:col>
      <xdr:colOff>610622</xdr:colOff>
      <xdr:row>7</xdr:row>
      <xdr:rowOff>31295</xdr:rowOff>
    </xdr:from>
    <xdr:ext cx="505164" cy="485776"/>
    <xdr:pic>
      <xdr:nvPicPr>
        <xdr:cNvPr id="40" name="image7.png">
          <a:extLst>
            <a:ext uri="{FF2B5EF4-FFF2-40B4-BE49-F238E27FC236}">
              <a16:creationId xmlns:a16="http://schemas.microsoft.com/office/drawing/2014/main" id="{D274E753-4EC2-4E87-B090-0D5437A4C563}"/>
            </a:ext>
          </a:extLst>
        </xdr:cNvPr>
        <xdr:cNvPicPr preferRelativeResize="0"/>
      </xdr:nvPicPr>
      <xdr:blipFill>
        <a:blip xmlns:r="http://schemas.openxmlformats.org/officeDocument/2006/relationships" r:embed="rId2" cstate="print"/>
        <a:stretch>
          <a:fillRect/>
        </a:stretch>
      </xdr:blipFill>
      <xdr:spPr>
        <a:xfrm>
          <a:off x="5835765" y="1364795"/>
          <a:ext cx="505164" cy="485776"/>
        </a:xfrm>
        <a:prstGeom prst="rect">
          <a:avLst/>
        </a:prstGeom>
        <a:noFill/>
      </xdr:spPr>
    </xdr:pic>
    <xdr:clientData fLocksWithSheet="0"/>
  </xdr:oneCellAnchor>
  <xdr:oneCellAnchor>
    <xdr:from>
      <xdr:col>13</xdr:col>
      <xdr:colOff>311264</xdr:colOff>
      <xdr:row>7</xdr:row>
      <xdr:rowOff>99332</xdr:rowOff>
    </xdr:from>
    <xdr:ext cx="477949" cy="349704"/>
    <xdr:pic>
      <xdr:nvPicPr>
        <xdr:cNvPr id="41" name="image5.png">
          <a:extLst>
            <a:ext uri="{FF2B5EF4-FFF2-40B4-BE49-F238E27FC236}">
              <a16:creationId xmlns:a16="http://schemas.microsoft.com/office/drawing/2014/main" id="{78274C03-5638-4871-9734-5FEA34BCB1CD}"/>
            </a:ext>
          </a:extLst>
        </xdr:cNvPr>
        <xdr:cNvPicPr preferRelativeResize="0"/>
      </xdr:nvPicPr>
      <xdr:blipFill>
        <a:blip xmlns:r="http://schemas.openxmlformats.org/officeDocument/2006/relationships" r:embed="rId3" cstate="print"/>
        <a:stretch>
          <a:fillRect/>
        </a:stretch>
      </xdr:blipFill>
      <xdr:spPr>
        <a:xfrm>
          <a:off x="8802121" y="1432832"/>
          <a:ext cx="477949" cy="349704"/>
        </a:xfrm>
        <a:prstGeom prst="rect">
          <a:avLst/>
        </a:prstGeom>
        <a:noFill/>
      </xdr:spPr>
    </xdr:pic>
    <xdr:clientData fLocksWithSheet="0"/>
  </xdr:oneCellAnchor>
  <xdr:oneCellAnchor>
    <xdr:from>
      <xdr:col>18</xdr:col>
      <xdr:colOff>39122</xdr:colOff>
      <xdr:row>7</xdr:row>
      <xdr:rowOff>99331</xdr:rowOff>
    </xdr:from>
    <xdr:ext cx="409914" cy="349705"/>
    <xdr:pic>
      <xdr:nvPicPr>
        <xdr:cNvPr id="42" name="image2.png">
          <a:extLst>
            <a:ext uri="{FF2B5EF4-FFF2-40B4-BE49-F238E27FC236}">
              <a16:creationId xmlns:a16="http://schemas.microsoft.com/office/drawing/2014/main" id="{7F5E0ACA-8B7D-4B9F-ADE8-3C1A03B5CBCE}"/>
            </a:ext>
          </a:extLst>
        </xdr:cNvPr>
        <xdr:cNvPicPr preferRelativeResize="0"/>
      </xdr:nvPicPr>
      <xdr:blipFill>
        <a:blip xmlns:r="http://schemas.openxmlformats.org/officeDocument/2006/relationships" r:embed="rId4" cstate="print"/>
        <a:stretch>
          <a:fillRect/>
        </a:stretch>
      </xdr:blipFill>
      <xdr:spPr>
        <a:xfrm>
          <a:off x="11795693" y="1432831"/>
          <a:ext cx="409914" cy="349705"/>
        </a:xfrm>
        <a:prstGeom prst="rect">
          <a:avLst/>
        </a:prstGeom>
        <a:noFill/>
      </xdr:spPr>
    </xdr:pic>
    <xdr:clientData fLocksWithSheet="0"/>
  </xdr:oneCellAnchor>
  <xdr:oneCellAnchor>
    <xdr:from>
      <xdr:col>22</xdr:col>
      <xdr:colOff>229622</xdr:colOff>
      <xdr:row>7</xdr:row>
      <xdr:rowOff>112938</xdr:rowOff>
    </xdr:from>
    <xdr:ext cx="382699" cy="363311"/>
    <xdr:pic>
      <xdr:nvPicPr>
        <xdr:cNvPr id="43" name="image6.png">
          <a:extLst>
            <a:ext uri="{FF2B5EF4-FFF2-40B4-BE49-F238E27FC236}">
              <a16:creationId xmlns:a16="http://schemas.microsoft.com/office/drawing/2014/main" id="{AEE65C2C-5BDB-4C9F-9572-50CD0DFA4C6D}"/>
            </a:ext>
          </a:extLst>
        </xdr:cNvPr>
        <xdr:cNvPicPr preferRelativeResize="0"/>
      </xdr:nvPicPr>
      <xdr:blipFill>
        <a:blip xmlns:r="http://schemas.openxmlformats.org/officeDocument/2006/relationships" r:embed="rId5" cstate="print"/>
        <a:stretch>
          <a:fillRect/>
        </a:stretch>
      </xdr:blipFill>
      <xdr:spPr>
        <a:xfrm>
          <a:off x="14598765" y="1446438"/>
          <a:ext cx="382699" cy="363311"/>
        </a:xfrm>
        <a:prstGeom prst="rect">
          <a:avLst/>
        </a:prstGeom>
        <a:noFill/>
      </xdr:spPr>
    </xdr:pic>
    <xdr:clientData fLocksWithSheet="0"/>
  </xdr:oneCellAnchor>
  <xdr:oneCellAnchor>
    <xdr:from>
      <xdr:col>14</xdr:col>
      <xdr:colOff>338479</xdr:colOff>
      <xdr:row>2</xdr:row>
      <xdr:rowOff>153760</xdr:rowOff>
    </xdr:from>
    <xdr:ext cx="723900" cy="628650"/>
    <xdr:pic>
      <xdr:nvPicPr>
        <xdr:cNvPr id="44" name="image3.png">
          <a:extLst>
            <a:ext uri="{FF2B5EF4-FFF2-40B4-BE49-F238E27FC236}">
              <a16:creationId xmlns:a16="http://schemas.microsoft.com/office/drawing/2014/main" id="{519CA019-C8B1-41A6-A3AC-5A6A70B88B61}"/>
            </a:ext>
          </a:extLst>
        </xdr:cNvPr>
        <xdr:cNvPicPr preferRelativeResize="0"/>
      </xdr:nvPicPr>
      <xdr:blipFill>
        <a:blip xmlns:r="http://schemas.openxmlformats.org/officeDocument/2006/relationships" r:embed="rId6" cstate="print"/>
        <a:stretch>
          <a:fillRect/>
        </a:stretch>
      </xdr:blipFill>
      <xdr:spPr>
        <a:xfrm>
          <a:off x="9482479" y="534760"/>
          <a:ext cx="723900" cy="628650"/>
        </a:xfrm>
        <a:prstGeom prst="rect">
          <a:avLst/>
        </a:prstGeom>
        <a:noFill/>
        <a:ln>
          <a:noFill/>
        </a:ln>
      </xdr:spPr>
    </xdr:pic>
    <xdr:clientData fLocksWithSheet="0"/>
  </xdr:oneCellAnchor>
  <xdr:oneCellAnchor>
    <xdr:from>
      <xdr:col>1</xdr:col>
      <xdr:colOff>420121</xdr:colOff>
      <xdr:row>2</xdr:row>
      <xdr:rowOff>140152</xdr:rowOff>
    </xdr:from>
    <xdr:ext cx="668450" cy="676277"/>
    <xdr:pic>
      <xdr:nvPicPr>
        <xdr:cNvPr id="45" name="image1.png">
          <a:extLst>
            <a:ext uri="{FF2B5EF4-FFF2-40B4-BE49-F238E27FC236}">
              <a16:creationId xmlns:a16="http://schemas.microsoft.com/office/drawing/2014/main" id="{A925442F-B3D6-4083-83D4-CA8576BF0C5E}"/>
            </a:ext>
          </a:extLst>
        </xdr:cNvPr>
        <xdr:cNvPicPr preferRelativeResize="0"/>
      </xdr:nvPicPr>
      <xdr:blipFill>
        <a:blip xmlns:r="http://schemas.openxmlformats.org/officeDocument/2006/relationships" r:embed="rId7" cstate="print"/>
        <a:stretch>
          <a:fillRect/>
        </a:stretch>
      </xdr:blipFill>
      <xdr:spPr>
        <a:xfrm>
          <a:off x="1073264" y="521152"/>
          <a:ext cx="668450" cy="676277"/>
        </a:xfrm>
        <a:prstGeom prst="rect">
          <a:avLst/>
        </a:prstGeom>
        <a:noFill/>
      </xdr:spPr>
    </xdr:pic>
    <xdr:clientData fLocksWithSheet="0"/>
  </xdr:oneCellAnchor>
  <xdr:twoCellAnchor>
    <xdr:from>
      <xdr:col>3</xdr:col>
      <xdr:colOff>81641</xdr:colOff>
      <xdr:row>2</xdr:row>
      <xdr:rowOff>108857</xdr:rowOff>
    </xdr:from>
    <xdr:to>
      <xdr:col>14</xdr:col>
      <xdr:colOff>149677</xdr:colOff>
      <xdr:row>5</xdr:row>
      <xdr:rowOff>163284</xdr:rowOff>
    </xdr:to>
    <xdr:sp macro="" textlink="">
      <xdr:nvSpPr>
        <xdr:cNvPr id="6" name="TextBox 5">
          <a:extLst>
            <a:ext uri="{FF2B5EF4-FFF2-40B4-BE49-F238E27FC236}">
              <a16:creationId xmlns:a16="http://schemas.microsoft.com/office/drawing/2014/main" id="{511DD355-599C-4864-AB89-1D729B107F97}"/>
            </a:ext>
          </a:extLst>
        </xdr:cNvPr>
        <xdr:cNvSpPr txBox="1"/>
      </xdr:nvSpPr>
      <xdr:spPr>
        <a:xfrm>
          <a:off x="2041070" y="489857"/>
          <a:ext cx="7252607" cy="625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a:solidFill>
                <a:schemeClr val="accent1">
                  <a:lumMod val="75000"/>
                </a:schemeClr>
              </a:solidFill>
              <a:latin typeface="Lato Black" panose="020F0A02020204030203" pitchFamily="34" charset="0"/>
            </a:rPr>
            <a:t>HR </a:t>
          </a:r>
          <a:r>
            <a:rPr lang="en-IN" sz="3800">
              <a:solidFill>
                <a:schemeClr val="accent1">
                  <a:lumMod val="75000"/>
                </a:schemeClr>
              </a:solidFill>
              <a:latin typeface="Lato Black" panose="020F0A02020204030203" pitchFamily="34" charset="0"/>
            </a:rPr>
            <a:t>ANALYTICS</a:t>
          </a:r>
          <a:r>
            <a:rPr lang="en-IN" sz="3600">
              <a:solidFill>
                <a:schemeClr val="accent1">
                  <a:lumMod val="75000"/>
                </a:schemeClr>
              </a:solidFill>
              <a:latin typeface="Lato Black" panose="020F0A02020204030203" pitchFamily="34" charset="0"/>
            </a:rPr>
            <a:t> DASHBOARD</a:t>
          </a:r>
        </a:p>
      </xdr:txBody>
    </xdr:sp>
    <xdr:clientData/>
  </xdr:twoCellAnchor>
  <xdr:twoCellAnchor>
    <xdr:from>
      <xdr:col>1</xdr:col>
      <xdr:colOff>367393</xdr:colOff>
      <xdr:row>12</xdr:row>
      <xdr:rowOff>136071</xdr:rowOff>
    </xdr:from>
    <xdr:to>
      <xdr:col>5</xdr:col>
      <xdr:colOff>176893</xdr:colOff>
      <xdr:row>14</xdr:row>
      <xdr:rowOff>0</xdr:rowOff>
    </xdr:to>
    <xdr:sp macro="" textlink="">
      <xdr:nvSpPr>
        <xdr:cNvPr id="7" name="TextBox 6">
          <a:extLst>
            <a:ext uri="{FF2B5EF4-FFF2-40B4-BE49-F238E27FC236}">
              <a16:creationId xmlns:a16="http://schemas.microsoft.com/office/drawing/2014/main" id="{BFF369E8-343A-4B0D-A96B-6D5B8DB47723}"/>
            </a:ext>
          </a:extLst>
        </xdr:cNvPr>
        <xdr:cNvSpPr txBox="1"/>
      </xdr:nvSpPr>
      <xdr:spPr>
        <a:xfrm>
          <a:off x="1020536" y="2422071"/>
          <a:ext cx="2422071"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Total Employee By Gender</a:t>
          </a:r>
        </a:p>
      </xdr:txBody>
    </xdr:sp>
    <xdr:clientData/>
  </xdr:twoCellAnchor>
  <xdr:twoCellAnchor>
    <xdr:from>
      <xdr:col>8</xdr:col>
      <xdr:colOff>149678</xdr:colOff>
      <xdr:row>12</xdr:row>
      <xdr:rowOff>122464</xdr:rowOff>
    </xdr:from>
    <xdr:to>
      <xdr:col>12</xdr:col>
      <xdr:colOff>149679</xdr:colOff>
      <xdr:row>14</xdr:row>
      <xdr:rowOff>0</xdr:rowOff>
    </xdr:to>
    <xdr:sp macro="" textlink="">
      <xdr:nvSpPr>
        <xdr:cNvPr id="8" name="TextBox 7">
          <a:extLst>
            <a:ext uri="{FF2B5EF4-FFF2-40B4-BE49-F238E27FC236}">
              <a16:creationId xmlns:a16="http://schemas.microsoft.com/office/drawing/2014/main" id="{DB0553B5-C32B-41A8-92E0-CDCFFA7D54C6}"/>
            </a:ext>
          </a:extLst>
        </xdr:cNvPr>
        <xdr:cNvSpPr txBox="1"/>
      </xdr:nvSpPr>
      <xdr:spPr>
        <a:xfrm>
          <a:off x="5374821" y="2408464"/>
          <a:ext cx="2612572"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Education Wise Attrition</a:t>
          </a:r>
        </a:p>
      </xdr:txBody>
    </xdr:sp>
    <xdr:clientData/>
  </xdr:twoCellAnchor>
  <xdr:twoCellAnchor>
    <xdr:from>
      <xdr:col>16</xdr:col>
      <xdr:colOff>299357</xdr:colOff>
      <xdr:row>12</xdr:row>
      <xdr:rowOff>122464</xdr:rowOff>
    </xdr:from>
    <xdr:to>
      <xdr:col>19</xdr:col>
      <xdr:colOff>312965</xdr:colOff>
      <xdr:row>14</xdr:row>
      <xdr:rowOff>0</xdr:rowOff>
    </xdr:to>
    <xdr:sp macro="" textlink="">
      <xdr:nvSpPr>
        <xdr:cNvPr id="9" name="TextBox 8">
          <a:extLst>
            <a:ext uri="{FF2B5EF4-FFF2-40B4-BE49-F238E27FC236}">
              <a16:creationId xmlns:a16="http://schemas.microsoft.com/office/drawing/2014/main" id="{A395BCB5-4187-4A76-9A25-F53C83EF6CCF}"/>
            </a:ext>
          </a:extLst>
        </xdr:cNvPr>
        <xdr:cNvSpPr txBox="1"/>
      </xdr:nvSpPr>
      <xdr:spPr>
        <a:xfrm>
          <a:off x="10749643" y="2408464"/>
          <a:ext cx="1973036"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a:t>
          </a:r>
          <a:r>
            <a:rPr lang="en-IN" sz="1300" baseline="0">
              <a:solidFill>
                <a:srgbClr val="C00000"/>
              </a:solidFill>
              <a:latin typeface="Lato Black" panose="020F0A02020204030203" pitchFamily="34" charset="0"/>
            </a:rPr>
            <a:t> By Job Role</a:t>
          </a:r>
          <a:endParaRPr lang="en-IN" sz="1300">
            <a:solidFill>
              <a:srgbClr val="C00000"/>
            </a:solidFill>
            <a:latin typeface="Lato Black" panose="020F0A02020204030203" pitchFamily="34" charset="0"/>
          </a:endParaRPr>
        </a:p>
      </xdr:txBody>
    </xdr:sp>
    <xdr:clientData/>
  </xdr:twoCellAnchor>
  <xdr:twoCellAnchor>
    <xdr:from>
      <xdr:col>19</xdr:col>
      <xdr:colOff>136071</xdr:colOff>
      <xdr:row>26</xdr:row>
      <xdr:rowOff>149678</xdr:rowOff>
    </xdr:from>
    <xdr:to>
      <xdr:col>21</xdr:col>
      <xdr:colOff>136071</xdr:colOff>
      <xdr:row>28</xdr:row>
      <xdr:rowOff>13607</xdr:rowOff>
    </xdr:to>
    <xdr:sp macro="" textlink="">
      <xdr:nvSpPr>
        <xdr:cNvPr id="10" name="TextBox 9">
          <a:extLst>
            <a:ext uri="{FF2B5EF4-FFF2-40B4-BE49-F238E27FC236}">
              <a16:creationId xmlns:a16="http://schemas.microsoft.com/office/drawing/2014/main" id="{87BD01CF-FE01-47BE-8ACB-CBA30AC18E89}"/>
            </a:ext>
          </a:extLst>
        </xdr:cNvPr>
        <xdr:cNvSpPr txBox="1"/>
      </xdr:nvSpPr>
      <xdr:spPr>
        <a:xfrm>
          <a:off x="12545785" y="5102678"/>
          <a:ext cx="1306286"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Filter Panel</a:t>
          </a:r>
        </a:p>
      </xdr:txBody>
    </xdr:sp>
    <xdr:clientData/>
  </xdr:twoCellAnchor>
  <xdr:twoCellAnchor>
    <xdr:from>
      <xdr:col>14</xdr:col>
      <xdr:colOff>285750</xdr:colOff>
      <xdr:row>26</xdr:row>
      <xdr:rowOff>163286</xdr:rowOff>
    </xdr:from>
    <xdr:to>
      <xdr:col>18</xdr:col>
      <xdr:colOff>353786</xdr:colOff>
      <xdr:row>28</xdr:row>
      <xdr:rowOff>54429</xdr:rowOff>
    </xdr:to>
    <xdr:sp macro="" textlink="">
      <xdr:nvSpPr>
        <xdr:cNvPr id="11" name="TextBox 10">
          <a:extLst>
            <a:ext uri="{FF2B5EF4-FFF2-40B4-BE49-F238E27FC236}">
              <a16:creationId xmlns:a16="http://schemas.microsoft.com/office/drawing/2014/main" id="{AD0881C3-F874-43A1-8C91-1364C06C9585}"/>
            </a:ext>
          </a:extLst>
        </xdr:cNvPr>
        <xdr:cNvSpPr txBox="1"/>
      </xdr:nvSpPr>
      <xdr:spPr>
        <a:xfrm>
          <a:off x="9429750" y="5116286"/>
          <a:ext cx="268060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 By Marital</a:t>
          </a:r>
          <a:r>
            <a:rPr lang="en-IN" sz="1300" baseline="0">
              <a:solidFill>
                <a:srgbClr val="C00000"/>
              </a:solidFill>
              <a:latin typeface="Lato Black" panose="020F0A02020204030203" pitchFamily="34" charset="0"/>
            </a:rPr>
            <a:t> Status</a:t>
          </a:r>
          <a:endParaRPr lang="en-IN" sz="1300">
            <a:solidFill>
              <a:srgbClr val="C00000"/>
            </a:solidFill>
            <a:latin typeface="Lato Black" panose="020F0A02020204030203" pitchFamily="34" charset="0"/>
          </a:endParaRPr>
        </a:p>
      </xdr:txBody>
    </xdr:sp>
    <xdr:clientData/>
  </xdr:twoCellAnchor>
  <xdr:twoCellAnchor>
    <xdr:from>
      <xdr:col>8</xdr:col>
      <xdr:colOff>108857</xdr:colOff>
      <xdr:row>27</xdr:row>
      <xdr:rowOff>0</xdr:rowOff>
    </xdr:from>
    <xdr:to>
      <xdr:col>11</xdr:col>
      <xdr:colOff>503465</xdr:colOff>
      <xdr:row>28</xdr:row>
      <xdr:rowOff>108857</xdr:rowOff>
    </xdr:to>
    <xdr:sp macro="" textlink="">
      <xdr:nvSpPr>
        <xdr:cNvPr id="12" name="TextBox 11">
          <a:extLst>
            <a:ext uri="{FF2B5EF4-FFF2-40B4-BE49-F238E27FC236}">
              <a16:creationId xmlns:a16="http://schemas.microsoft.com/office/drawing/2014/main" id="{0180DDEC-FBE7-46B0-AC56-C87C5E6C6FB3}"/>
            </a:ext>
          </a:extLst>
        </xdr:cNvPr>
        <xdr:cNvSpPr txBox="1"/>
      </xdr:nvSpPr>
      <xdr:spPr>
        <a:xfrm>
          <a:off x="5334000" y="5143500"/>
          <a:ext cx="2354036"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 By Age Group</a:t>
          </a:r>
        </a:p>
      </xdr:txBody>
    </xdr:sp>
    <xdr:clientData/>
  </xdr:twoCellAnchor>
  <xdr:twoCellAnchor>
    <xdr:from>
      <xdr:col>1</xdr:col>
      <xdr:colOff>272143</xdr:colOff>
      <xdr:row>26</xdr:row>
      <xdr:rowOff>176892</xdr:rowOff>
    </xdr:from>
    <xdr:to>
      <xdr:col>5</xdr:col>
      <xdr:colOff>163286</xdr:colOff>
      <xdr:row>28</xdr:row>
      <xdr:rowOff>95249</xdr:rowOff>
    </xdr:to>
    <xdr:sp macro="" textlink="">
      <xdr:nvSpPr>
        <xdr:cNvPr id="13" name="TextBox 12">
          <a:extLst>
            <a:ext uri="{FF2B5EF4-FFF2-40B4-BE49-F238E27FC236}">
              <a16:creationId xmlns:a16="http://schemas.microsoft.com/office/drawing/2014/main" id="{39BC0FA9-71B3-4CA1-BBEB-22EE1F1DBD68}"/>
            </a:ext>
          </a:extLst>
        </xdr:cNvPr>
        <xdr:cNvSpPr txBox="1"/>
      </xdr:nvSpPr>
      <xdr:spPr>
        <a:xfrm>
          <a:off x="925286" y="5129892"/>
          <a:ext cx="2503714"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Department Wise Attrition</a:t>
          </a:r>
        </a:p>
      </xdr:txBody>
    </xdr:sp>
    <xdr:clientData/>
  </xdr:twoCellAnchor>
  <xdr:twoCellAnchor>
    <xdr:from>
      <xdr:col>15</xdr:col>
      <xdr:colOff>381000</xdr:colOff>
      <xdr:row>2</xdr:row>
      <xdr:rowOff>122463</xdr:rowOff>
    </xdr:from>
    <xdr:to>
      <xdr:col>18</xdr:col>
      <xdr:colOff>108857</xdr:colOff>
      <xdr:row>6</xdr:row>
      <xdr:rowOff>136071</xdr:rowOff>
    </xdr:to>
    <xdr:sp macro="" textlink="">
      <xdr:nvSpPr>
        <xdr:cNvPr id="14" name="TextBox 13">
          <a:extLst>
            <a:ext uri="{FF2B5EF4-FFF2-40B4-BE49-F238E27FC236}">
              <a16:creationId xmlns:a16="http://schemas.microsoft.com/office/drawing/2014/main" id="{D43DC260-2949-4EC0-B129-EFFD82AA22E9}"/>
            </a:ext>
          </a:extLst>
        </xdr:cNvPr>
        <xdr:cNvSpPr txBox="1"/>
      </xdr:nvSpPr>
      <xdr:spPr>
        <a:xfrm>
          <a:off x="10178143" y="503463"/>
          <a:ext cx="1687285" cy="775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A02020204030203" pitchFamily="34" charset="0"/>
            </a:rPr>
            <a:t>JOB</a:t>
          </a:r>
        </a:p>
        <a:p>
          <a:pPr algn="ctr"/>
          <a:r>
            <a:rPr lang="en-IN" sz="1400">
              <a:solidFill>
                <a:srgbClr val="C00000"/>
              </a:solidFill>
              <a:latin typeface="Lato Black" panose="020F0A02020204030203" pitchFamily="34" charset="0"/>
            </a:rPr>
            <a:t>SATISFACTION</a:t>
          </a:r>
        </a:p>
        <a:p>
          <a:pPr algn="ctr"/>
          <a:r>
            <a:rPr lang="en-IN" sz="1400">
              <a:solidFill>
                <a:srgbClr val="C00000"/>
              </a:solidFill>
              <a:latin typeface="Lato Black" panose="020F0A02020204030203" pitchFamily="34" charset="0"/>
            </a:rPr>
            <a:t>RATING</a:t>
          </a:r>
        </a:p>
      </xdr:txBody>
    </xdr:sp>
    <xdr:clientData/>
  </xdr:twoCellAnchor>
  <xdr:twoCellAnchor>
    <xdr:from>
      <xdr:col>17</xdr:col>
      <xdr:colOff>556193</xdr:colOff>
      <xdr:row>2</xdr:row>
      <xdr:rowOff>122464</xdr:rowOff>
    </xdr:from>
    <xdr:to>
      <xdr:col>19</xdr:col>
      <xdr:colOff>108857</xdr:colOff>
      <xdr:row>5</xdr:row>
      <xdr:rowOff>176893</xdr:rowOff>
    </xdr:to>
    <xdr:graphicFrame macro="">
      <xdr:nvGraphicFramePr>
        <xdr:cNvPr id="55" name="Chart 54">
          <a:extLst>
            <a:ext uri="{FF2B5EF4-FFF2-40B4-BE49-F238E27FC236}">
              <a16:creationId xmlns:a16="http://schemas.microsoft.com/office/drawing/2014/main" id="{2CC97D88-34F7-494B-AF6F-9FD4680A3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122465</xdr:colOff>
      <xdr:row>3</xdr:row>
      <xdr:rowOff>122463</xdr:rowOff>
    </xdr:from>
    <xdr:to>
      <xdr:col>18</xdr:col>
      <xdr:colOff>598714</xdr:colOff>
      <xdr:row>5</xdr:row>
      <xdr:rowOff>13607</xdr:rowOff>
    </xdr:to>
    <xdr:sp macro="" textlink="Rating!B7">
      <xdr:nvSpPr>
        <xdr:cNvPr id="15" name="TextBox 14">
          <a:extLst>
            <a:ext uri="{FF2B5EF4-FFF2-40B4-BE49-F238E27FC236}">
              <a16:creationId xmlns:a16="http://schemas.microsoft.com/office/drawing/2014/main" id="{82A780CF-0952-45F9-AB62-C40DA5A589A1}"/>
            </a:ext>
          </a:extLst>
        </xdr:cNvPr>
        <xdr:cNvSpPr txBox="1"/>
      </xdr:nvSpPr>
      <xdr:spPr>
        <a:xfrm>
          <a:off x="11879036" y="693963"/>
          <a:ext cx="476249"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43B195-CDAB-40EE-A081-BA478B54B600}" type="TxLink">
            <a:rPr lang="en-US" sz="1300" b="0" i="0" u="none" strike="noStrike">
              <a:solidFill>
                <a:schemeClr val="accent1">
                  <a:lumMod val="75000"/>
                </a:schemeClr>
              </a:solidFill>
              <a:latin typeface="Lato Black" panose="020F0A02020204030203" pitchFamily="34" charset="0"/>
              <a:cs typeface="Calibri"/>
            </a:rPr>
            <a:t>2.6</a:t>
          </a:fld>
          <a:endParaRPr lang="en-IN" sz="1300">
            <a:solidFill>
              <a:schemeClr val="accent1">
                <a:lumMod val="75000"/>
              </a:schemeClr>
            </a:solidFill>
            <a:latin typeface="Lato Black" panose="020F0A02020204030203" pitchFamily="34" charset="0"/>
          </a:endParaRPr>
        </a:p>
      </xdr:txBody>
    </xdr:sp>
    <xdr:clientData/>
  </xdr:twoCellAnchor>
  <xdr:twoCellAnchor>
    <xdr:from>
      <xdr:col>19</xdr:col>
      <xdr:colOff>163286</xdr:colOff>
      <xdr:row>2</xdr:row>
      <xdr:rowOff>163285</xdr:rowOff>
    </xdr:from>
    <xdr:to>
      <xdr:col>23</xdr:col>
      <xdr:colOff>108857</xdr:colOff>
      <xdr:row>5</xdr:row>
      <xdr:rowOff>122463</xdr:rowOff>
    </xdr:to>
    <xdr:graphicFrame macro="">
      <xdr:nvGraphicFramePr>
        <xdr:cNvPr id="58" name="Chart 57">
          <a:extLst>
            <a:ext uri="{FF2B5EF4-FFF2-40B4-BE49-F238E27FC236}">
              <a16:creationId xmlns:a16="http://schemas.microsoft.com/office/drawing/2014/main" id="{3028ED9C-5690-4025-B3F4-B2E7B2779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68035</xdr:colOff>
      <xdr:row>2</xdr:row>
      <xdr:rowOff>122465</xdr:rowOff>
    </xdr:from>
    <xdr:to>
      <xdr:col>23</xdr:col>
      <xdr:colOff>40820</xdr:colOff>
      <xdr:row>5</xdr:row>
      <xdr:rowOff>122465</xdr:rowOff>
    </xdr:to>
    <xdr:sp macro="" textlink="">
      <xdr:nvSpPr>
        <xdr:cNvPr id="57" name="Freeform: Shape 56">
          <a:extLst>
            <a:ext uri="{FF2B5EF4-FFF2-40B4-BE49-F238E27FC236}">
              <a16:creationId xmlns:a16="http://schemas.microsoft.com/office/drawing/2014/main" id="{54080FD9-CB03-4B2C-BB98-77A069554C04}"/>
            </a:ext>
          </a:extLst>
        </xdr:cNvPr>
        <xdr:cNvSpPr/>
      </xdr:nvSpPr>
      <xdr:spPr>
        <a:xfrm>
          <a:off x="12477749" y="503465"/>
          <a:ext cx="2585357" cy="571500"/>
        </a:xfrm>
        <a:custGeom>
          <a:avLst/>
          <a:gdLst>
            <a:gd name="connsiteX0" fmla="*/ 2368487 w 2756452"/>
            <a:gd name="connsiteY0" fmla="*/ 94774 h 728870"/>
            <a:gd name="connsiteX1" fmla="*/ 2304750 w 2756452"/>
            <a:gd name="connsiteY1" fmla="*/ 301037 h 728870"/>
            <a:gd name="connsiteX2" fmla="*/ 2098488 w 2756452"/>
            <a:gd name="connsiteY2" fmla="*/ 301035 h 728870"/>
            <a:gd name="connsiteX3" fmla="*/ 2265358 w 2756452"/>
            <a:gd name="connsiteY3" fmla="*/ 428511 h 728870"/>
            <a:gd name="connsiteX4" fmla="*/ 2201618 w 2756452"/>
            <a:gd name="connsiteY4" fmla="*/ 634773 h 728870"/>
            <a:gd name="connsiteX5" fmla="*/ 2368487 w 2756452"/>
            <a:gd name="connsiteY5" fmla="*/ 507294 h 728870"/>
            <a:gd name="connsiteX6" fmla="*/ 2535356 w 2756452"/>
            <a:gd name="connsiteY6" fmla="*/ 634773 h 728870"/>
            <a:gd name="connsiteX7" fmla="*/ 2471616 w 2756452"/>
            <a:gd name="connsiteY7" fmla="*/ 428511 h 728870"/>
            <a:gd name="connsiteX8" fmla="*/ 2638486 w 2756452"/>
            <a:gd name="connsiteY8" fmla="*/ 301035 h 728870"/>
            <a:gd name="connsiteX9" fmla="*/ 2432224 w 2756452"/>
            <a:gd name="connsiteY9" fmla="*/ 301037 h 728870"/>
            <a:gd name="connsiteX10" fmla="*/ 1736087 w 2756452"/>
            <a:gd name="connsiteY10" fmla="*/ 94774 h 728870"/>
            <a:gd name="connsiteX11" fmla="*/ 1672350 w 2756452"/>
            <a:gd name="connsiteY11" fmla="*/ 301037 h 728870"/>
            <a:gd name="connsiteX12" fmla="*/ 1466088 w 2756452"/>
            <a:gd name="connsiteY12" fmla="*/ 301035 h 728870"/>
            <a:gd name="connsiteX13" fmla="*/ 1632958 w 2756452"/>
            <a:gd name="connsiteY13" fmla="*/ 428511 h 728870"/>
            <a:gd name="connsiteX14" fmla="*/ 1569218 w 2756452"/>
            <a:gd name="connsiteY14" fmla="*/ 634773 h 728870"/>
            <a:gd name="connsiteX15" fmla="*/ 1736087 w 2756452"/>
            <a:gd name="connsiteY15" fmla="*/ 507294 h 728870"/>
            <a:gd name="connsiteX16" fmla="*/ 1902956 w 2756452"/>
            <a:gd name="connsiteY16" fmla="*/ 634773 h 728870"/>
            <a:gd name="connsiteX17" fmla="*/ 1839216 w 2756452"/>
            <a:gd name="connsiteY17" fmla="*/ 428511 h 728870"/>
            <a:gd name="connsiteX18" fmla="*/ 2006086 w 2756452"/>
            <a:gd name="connsiteY18" fmla="*/ 301035 h 728870"/>
            <a:gd name="connsiteX19" fmla="*/ 1799824 w 2756452"/>
            <a:gd name="connsiteY19" fmla="*/ 301037 h 728870"/>
            <a:gd name="connsiteX20" fmla="*/ 1103687 w 2756452"/>
            <a:gd name="connsiteY20" fmla="*/ 94774 h 728870"/>
            <a:gd name="connsiteX21" fmla="*/ 1039950 w 2756452"/>
            <a:gd name="connsiteY21" fmla="*/ 301037 h 728870"/>
            <a:gd name="connsiteX22" fmla="*/ 833688 w 2756452"/>
            <a:gd name="connsiteY22" fmla="*/ 301035 h 728870"/>
            <a:gd name="connsiteX23" fmla="*/ 1000558 w 2756452"/>
            <a:gd name="connsiteY23" fmla="*/ 428511 h 728870"/>
            <a:gd name="connsiteX24" fmla="*/ 936818 w 2756452"/>
            <a:gd name="connsiteY24" fmla="*/ 634773 h 728870"/>
            <a:gd name="connsiteX25" fmla="*/ 1103687 w 2756452"/>
            <a:gd name="connsiteY25" fmla="*/ 507294 h 728870"/>
            <a:gd name="connsiteX26" fmla="*/ 1270556 w 2756452"/>
            <a:gd name="connsiteY26" fmla="*/ 634773 h 728870"/>
            <a:gd name="connsiteX27" fmla="*/ 1206816 w 2756452"/>
            <a:gd name="connsiteY27" fmla="*/ 428511 h 728870"/>
            <a:gd name="connsiteX28" fmla="*/ 1373686 w 2756452"/>
            <a:gd name="connsiteY28" fmla="*/ 301035 h 728870"/>
            <a:gd name="connsiteX29" fmla="*/ 1167424 w 2756452"/>
            <a:gd name="connsiteY29" fmla="*/ 301037 h 728870"/>
            <a:gd name="connsiteX30" fmla="*/ 471287 w 2756452"/>
            <a:gd name="connsiteY30" fmla="*/ 94774 h 728870"/>
            <a:gd name="connsiteX31" fmla="*/ 407550 w 2756452"/>
            <a:gd name="connsiteY31" fmla="*/ 301037 h 728870"/>
            <a:gd name="connsiteX32" fmla="*/ 201288 w 2756452"/>
            <a:gd name="connsiteY32" fmla="*/ 301035 h 728870"/>
            <a:gd name="connsiteX33" fmla="*/ 368158 w 2756452"/>
            <a:gd name="connsiteY33" fmla="*/ 428511 h 728870"/>
            <a:gd name="connsiteX34" fmla="*/ 304418 w 2756452"/>
            <a:gd name="connsiteY34" fmla="*/ 634773 h 728870"/>
            <a:gd name="connsiteX35" fmla="*/ 471287 w 2756452"/>
            <a:gd name="connsiteY35" fmla="*/ 507294 h 728870"/>
            <a:gd name="connsiteX36" fmla="*/ 638156 w 2756452"/>
            <a:gd name="connsiteY36" fmla="*/ 634773 h 728870"/>
            <a:gd name="connsiteX37" fmla="*/ 574416 w 2756452"/>
            <a:gd name="connsiteY37" fmla="*/ 428511 h 728870"/>
            <a:gd name="connsiteX38" fmla="*/ 741286 w 2756452"/>
            <a:gd name="connsiteY38" fmla="*/ 301035 h 728870"/>
            <a:gd name="connsiteX39" fmla="*/ 535024 w 2756452"/>
            <a:gd name="connsiteY39" fmla="*/ 301037 h 728870"/>
            <a:gd name="connsiteX40" fmla="*/ 0 w 2756452"/>
            <a:gd name="connsiteY40" fmla="*/ 0 h 728870"/>
            <a:gd name="connsiteX41" fmla="*/ 2756452 w 2756452"/>
            <a:gd name="connsiteY41" fmla="*/ 0 h 728870"/>
            <a:gd name="connsiteX42" fmla="*/ 2756452 w 2756452"/>
            <a:gd name="connsiteY42" fmla="*/ 728870 h 728870"/>
            <a:gd name="connsiteX43" fmla="*/ 0 w 2756452"/>
            <a:gd name="connsiteY43" fmla="*/ 728870 h 728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756452" h="728870">
              <a:moveTo>
                <a:pt x="2368487" y="94774"/>
              </a:moveTo>
              <a:lnTo>
                <a:pt x="2304750" y="301037"/>
              </a:lnTo>
              <a:lnTo>
                <a:pt x="2098488" y="301035"/>
              </a:lnTo>
              <a:lnTo>
                <a:pt x="2265358" y="428511"/>
              </a:lnTo>
              <a:lnTo>
                <a:pt x="2201618" y="634773"/>
              </a:lnTo>
              <a:lnTo>
                <a:pt x="2368487" y="507294"/>
              </a:lnTo>
              <a:lnTo>
                <a:pt x="2535356" y="634773"/>
              </a:lnTo>
              <a:lnTo>
                <a:pt x="2471616" y="428511"/>
              </a:lnTo>
              <a:lnTo>
                <a:pt x="2638486" y="301035"/>
              </a:lnTo>
              <a:lnTo>
                <a:pt x="2432224" y="301037"/>
              </a:lnTo>
              <a:close/>
              <a:moveTo>
                <a:pt x="1736087" y="94774"/>
              </a:moveTo>
              <a:lnTo>
                <a:pt x="1672350" y="301037"/>
              </a:lnTo>
              <a:lnTo>
                <a:pt x="1466088" y="301035"/>
              </a:lnTo>
              <a:lnTo>
                <a:pt x="1632958" y="428511"/>
              </a:lnTo>
              <a:lnTo>
                <a:pt x="1569218" y="634773"/>
              </a:lnTo>
              <a:lnTo>
                <a:pt x="1736087" y="507294"/>
              </a:lnTo>
              <a:lnTo>
                <a:pt x="1902956" y="634773"/>
              </a:lnTo>
              <a:lnTo>
                <a:pt x="1839216" y="428511"/>
              </a:lnTo>
              <a:lnTo>
                <a:pt x="2006086" y="301035"/>
              </a:lnTo>
              <a:lnTo>
                <a:pt x="1799824" y="301037"/>
              </a:lnTo>
              <a:close/>
              <a:moveTo>
                <a:pt x="1103687" y="94774"/>
              </a:moveTo>
              <a:lnTo>
                <a:pt x="1039950" y="301037"/>
              </a:lnTo>
              <a:lnTo>
                <a:pt x="833688" y="301035"/>
              </a:lnTo>
              <a:lnTo>
                <a:pt x="1000558" y="428511"/>
              </a:lnTo>
              <a:lnTo>
                <a:pt x="936818" y="634773"/>
              </a:lnTo>
              <a:lnTo>
                <a:pt x="1103687" y="507294"/>
              </a:lnTo>
              <a:lnTo>
                <a:pt x="1270556" y="634773"/>
              </a:lnTo>
              <a:lnTo>
                <a:pt x="1206816" y="428511"/>
              </a:lnTo>
              <a:lnTo>
                <a:pt x="1373686" y="301035"/>
              </a:lnTo>
              <a:lnTo>
                <a:pt x="1167424" y="301037"/>
              </a:lnTo>
              <a:close/>
              <a:moveTo>
                <a:pt x="471287" y="94774"/>
              </a:moveTo>
              <a:lnTo>
                <a:pt x="407550" y="301037"/>
              </a:lnTo>
              <a:lnTo>
                <a:pt x="201288" y="301035"/>
              </a:lnTo>
              <a:lnTo>
                <a:pt x="368158" y="428511"/>
              </a:lnTo>
              <a:lnTo>
                <a:pt x="304418" y="634773"/>
              </a:lnTo>
              <a:lnTo>
                <a:pt x="471287" y="507294"/>
              </a:lnTo>
              <a:lnTo>
                <a:pt x="638156" y="634773"/>
              </a:lnTo>
              <a:lnTo>
                <a:pt x="574416" y="428511"/>
              </a:lnTo>
              <a:lnTo>
                <a:pt x="741286" y="301035"/>
              </a:lnTo>
              <a:lnTo>
                <a:pt x="535024" y="301037"/>
              </a:lnTo>
              <a:close/>
              <a:moveTo>
                <a:pt x="0" y="0"/>
              </a:moveTo>
              <a:lnTo>
                <a:pt x="2756452" y="0"/>
              </a:lnTo>
              <a:lnTo>
                <a:pt x="2756452" y="728870"/>
              </a:lnTo>
              <a:lnTo>
                <a:pt x="0" y="72887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637836</xdr:colOff>
      <xdr:row>17</xdr:row>
      <xdr:rowOff>146956</xdr:rowOff>
    </xdr:from>
    <xdr:to>
      <xdr:col>7</xdr:col>
      <xdr:colOff>540228</xdr:colOff>
      <xdr:row>25</xdr:row>
      <xdr:rowOff>62956</xdr:rowOff>
    </xdr:to>
    <xdr:grpSp>
      <xdr:nvGrpSpPr>
        <xdr:cNvPr id="20" name="Group 19">
          <a:extLst>
            <a:ext uri="{FF2B5EF4-FFF2-40B4-BE49-F238E27FC236}">
              <a16:creationId xmlns:a16="http://schemas.microsoft.com/office/drawing/2014/main" id="{56741AA5-F525-4BC2-867E-452BD7F25A6F}"/>
            </a:ext>
          </a:extLst>
        </xdr:cNvPr>
        <xdr:cNvGrpSpPr/>
      </xdr:nvGrpSpPr>
      <xdr:grpSpPr>
        <a:xfrm>
          <a:off x="637836" y="3385456"/>
          <a:ext cx="4458517" cy="1440000"/>
          <a:chOff x="637836" y="3385456"/>
          <a:chExt cx="4474392" cy="1440000"/>
        </a:xfrm>
      </xdr:grpSpPr>
      <xdr:graphicFrame macro="">
        <xdr:nvGraphicFramePr>
          <xdr:cNvPr id="60" name="Chart 59">
            <a:extLst>
              <a:ext uri="{FF2B5EF4-FFF2-40B4-BE49-F238E27FC236}">
                <a16:creationId xmlns:a16="http://schemas.microsoft.com/office/drawing/2014/main" id="{E73DB4BC-E768-4CDA-8D1B-A7A0E4859E17}"/>
              </a:ext>
            </a:extLst>
          </xdr:cNvPr>
          <xdr:cNvGraphicFramePr>
            <a:graphicFrameLocks/>
          </xdr:cNvGraphicFramePr>
        </xdr:nvGraphicFramePr>
        <xdr:xfrm>
          <a:off x="637836" y="3385456"/>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1" name="Chart 60">
            <a:extLst>
              <a:ext uri="{FF2B5EF4-FFF2-40B4-BE49-F238E27FC236}">
                <a16:creationId xmlns:a16="http://schemas.microsoft.com/office/drawing/2014/main" id="{3F6BFC7C-1314-480C-B1AE-B854FCB4168B}"/>
              </a:ext>
            </a:extLst>
          </xdr:cNvPr>
          <xdr:cNvGraphicFramePr>
            <a:graphicFrameLocks/>
          </xdr:cNvGraphicFramePr>
        </xdr:nvGraphicFramePr>
        <xdr:xfrm>
          <a:off x="3672228" y="3385456"/>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7" name="Graphic 16" descr="Male profile">
            <a:extLst>
              <a:ext uri="{FF2B5EF4-FFF2-40B4-BE49-F238E27FC236}">
                <a16:creationId xmlns:a16="http://schemas.microsoft.com/office/drawing/2014/main" id="{84F2664E-BE5E-4A60-95DC-B77C08744BF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993573" y="3703714"/>
            <a:ext cx="756000" cy="756000"/>
          </a:xfrm>
          <a:prstGeom prst="rect">
            <a:avLst/>
          </a:prstGeom>
        </xdr:spPr>
      </xdr:pic>
      <xdr:pic>
        <xdr:nvPicPr>
          <xdr:cNvPr id="19" name="Graphic 18" descr="Female Profile">
            <a:extLst>
              <a:ext uri="{FF2B5EF4-FFF2-40B4-BE49-F238E27FC236}">
                <a16:creationId xmlns:a16="http://schemas.microsoft.com/office/drawing/2014/main" id="{4881EE5E-1FAA-4C82-82C1-D6388D286C5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959750" y="3721714"/>
            <a:ext cx="720000" cy="720000"/>
          </a:xfrm>
          <a:prstGeom prst="rect">
            <a:avLst/>
          </a:prstGeom>
        </xdr:spPr>
      </xdr:pic>
    </xdr:grpSp>
    <xdr:clientData/>
  </xdr:twoCellAnchor>
  <xdr:twoCellAnchor>
    <xdr:from>
      <xdr:col>1</xdr:col>
      <xdr:colOff>394607</xdr:colOff>
      <xdr:row>20</xdr:row>
      <xdr:rowOff>112938</xdr:rowOff>
    </xdr:from>
    <xdr:to>
      <xdr:col>2</xdr:col>
      <xdr:colOff>530678</xdr:colOff>
      <xdr:row>22</xdr:row>
      <xdr:rowOff>176893</xdr:rowOff>
    </xdr:to>
    <xdr:sp macro="" textlink="Gender!$B$9">
      <xdr:nvSpPr>
        <xdr:cNvPr id="66" name="TextBox 65">
          <a:extLst>
            <a:ext uri="{FF2B5EF4-FFF2-40B4-BE49-F238E27FC236}">
              <a16:creationId xmlns:a16="http://schemas.microsoft.com/office/drawing/2014/main" id="{66F92FFD-4F10-4590-9A55-83E040105650}"/>
            </a:ext>
          </a:extLst>
        </xdr:cNvPr>
        <xdr:cNvSpPr txBox="1"/>
      </xdr:nvSpPr>
      <xdr:spPr>
        <a:xfrm>
          <a:off x="1047750" y="3922938"/>
          <a:ext cx="789214" cy="444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1F0D2E-6280-40DD-95C9-48774B3894AF}" type="TxLink">
            <a:rPr lang="en-US" sz="1800" b="0" i="0" u="none" strike="noStrike">
              <a:solidFill>
                <a:srgbClr val="002060"/>
              </a:solidFill>
              <a:latin typeface="Lato Black" panose="020F0A02020204030203" pitchFamily="34" charset="0"/>
              <a:cs typeface="Calibri"/>
            </a:rPr>
            <a:t>588</a:t>
          </a:fld>
          <a:endParaRPr lang="en-IN" sz="1800">
            <a:solidFill>
              <a:srgbClr val="002060"/>
            </a:solidFill>
            <a:latin typeface="Lato Black" panose="020F0A02020204030203" pitchFamily="34" charset="0"/>
          </a:endParaRPr>
        </a:p>
      </xdr:txBody>
    </xdr:sp>
    <xdr:clientData/>
  </xdr:twoCellAnchor>
  <xdr:twoCellAnchor>
    <xdr:from>
      <xdr:col>6</xdr:col>
      <xdr:colOff>190501</xdr:colOff>
      <xdr:row>20</xdr:row>
      <xdr:rowOff>99332</xdr:rowOff>
    </xdr:from>
    <xdr:to>
      <xdr:col>7</xdr:col>
      <xdr:colOff>299358</xdr:colOff>
      <xdr:row>22</xdr:row>
      <xdr:rowOff>163286</xdr:rowOff>
    </xdr:to>
    <xdr:sp macro="" textlink="Gender!$B$10">
      <xdr:nvSpPr>
        <xdr:cNvPr id="67" name="TextBox 66">
          <a:extLst>
            <a:ext uri="{FF2B5EF4-FFF2-40B4-BE49-F238E27FC236}">
              <a16:creationId xmlns:a16="http://schemas.microsoft.com/office/drawing/2014/main" id="{E2EBB2ED-ADF9-44EB-B019-DF7D1BEE42D4}"/>
            </a:ext>
          </a:extLst>
        </xdr:cNvPr>
        <xdr:cNvSpPr txBox="1"/>
      </xdr:nvSpPr>
      <xdr:spPr>
        <a:xfrm>
          <a:off x="4109358" y="3909332"/>
          <a:ext cx="762000" cy="444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CF6947-6BF6-4FFC-BF46-7566A02FCA06}" type="TxLink">
            <a:rPr lang="en-US" sz="1800" b="0" i="0" u="none" strike="noStrike">
              <a:solidFill>
                <a:srgbClr val="002060"/>
              </a:solidFill>
              <a:latin typeface="Lato Black" panose="020F0A02020204030203" pitchFamily="34" charset="0"/>
              <a:cs typeface="Calibri"/>
            </a:rPr>
            <a:t>882</a:t>
          </a:fld>
          <a:endParaRPr lang="en-IN" sz="1800">
            <a:solidFill>
              <a:srgbClr val="002060"/>
            </a:solidFill>
            <a:latin typeface="Lato Black" panose="020F0A02020204030203" pitchFamily="34" charset="0"/>
          </a:endParaRPr>
        </a:p>
      </xdr:txBody>
    </xdr:sp>
    <xdr:clientData/>
  </xdr:twoCellAnchor>
  <xdr:twoCellAnchor editAs="oneCell">
    <xdr:from>
      <xdr:col>3</xdr:col>
      <xdr:colOff>66335</xdr:colOff>
      <xdr:row>15</xdr:row>
      <xdr:rowOff>4081</xdr:rowOff>
    </xdr:from>
    <xdr:to>
      <xdr:col>5</xdr:col>
      <xdr:colOff>588850</xdr:colOff>
      <xdr:row>19</xdr:row>
      <xdr:rowOff>0</xdr:rowOff>
    </xdr:to>
    <mc:AlternateContent xmlns:mc="http://schemas.openxmlformats.org/markup-compatibility/2006">
      <mc:Choice xmlns:a14="http://schemas.microsoft.com/office/drawing/2010/main" Requires="a14">
        <xdr:graphicFrame macro="">
          <xdr:nvGraphicFramePr>
            <xdr:cNvPr id="69" name="Gender 2">
              <a:extLst>
                <a:ext uri="{FF2B5EF4-FFF2-40B4-BE49-F238E27FC236}">
                  <a16:creationId xmlns:a16="http://schemas.microsoft.com/office/drawing/2014/main" id="{D132E091-3FCF-4FE9-89CB-A8624614F89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018960" y="2861581"/>
              <a:ext cx="1824265" cy="75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585107</xdr:colOff>
      <xdr:row>14</xdr:row>
      <xdr:rowOff>13607</xdr:rowOff>
    </xdr:from>
    <xdr:to>
      <xdr:col>15</xdr:col>
      <xdr:colOff>598714</xdr:colOff>
      <xdr:row>26</xdr:row>
      <xdr:rowOff>27214</xdr:rowOff>
    </xdr:to>
    <xdr:graphicFrame macro="">
      <xdr:nvGraphicFramePr>
        <xdr:cNvPr id="70" name="Chart 69">
          <a:extLst>
            <a:ext uri="{FF2B5EF4-FFF2-40B4-BE49-F238E27FC236}">
              <a16:creationId xmlns:a16="http://schemas.microsoft.com/office/drawing/2014/main" id="{C1A954F0-6460-4864-B028-34FB2FDC3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122463</xdr:colOff>
      <xdr:row>14</xdr:row>
      <xdr:rowOff>81643</xdr:rowOff>
    </xdr:from>
    <xdr:to>
      <xdr:col>23</xdr:col>
      <xdr:colOff>299356</xdr:colOff>
      <xdr:row>26</xdr:row>
      <xdr:rowOff>27214</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5AC6E45D-4747-4F19-BF41-CC1D8B7830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572749" y="2748643"/>
              <a:ext cx="4748893" cy="22315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132103</xdr:colOff>
      <xdr:row>28</xdr:row>
      <xdr:rowOff>135617</xdr:rowOff>
    </xdr:from>
    <xdr:to>
      <xdr:col>7</xdr:col>
      <xdr:colOff>396875</xdr:colOff>
      <xdr:row>40</xdr:row>
      <xdr:rowOff>15875</xdr:rowOff>
    </xdr:to>
    <xdr:graphicFrame macro="">
      <xdr:nvGraphicFramePr>
        <xdr:cNvPr id="72" name="Chart 71">
          <a:extLst>
            <a:ext uri="{FF2B5EF4-FFF2-40B4-BE49-F238E27FC236}">
              <a16:creationId xmlns:a16="http://schemas.microsoft.com/office/drawing/2014/main" id="{5B17613D-5ACD-4F61-A860-AC1D0FE35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560728</xdr:colOff>
      <xdr:row>28</xdr:row>
      <xdr:rowOff>40822</xdr:rowOff>
    </xdr:from>
    <xdr:to>
      <xdr:col>13</xdr:col>
      <xdr:colOff>571500</xdr:colOff>
      <xdr:row>40</xdr:row>
      <xdr:rowOff>54430</xdr:rowOff>
    </xdr:to>
    <xdr:graphicFrame macro="">
      <xdr:nvGraphicFramePr>
        <xdr:cNvPr id="73" name="Chart 72">
          <a:extLst>
            <a:ext uri="{FF2B5EF4-FFF2-40B4-BE49-F238E27FC236}">
              <a16:creationId xmlns:a16="http://schemas.microsoft.com/office/drawing/2014/main" id="{4B012ED2-8FDD-42FD-B8F7-BF07053C5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639536</xdr:colOff>
      <xdr:row>28</xdr:row>
      <xdr:rowOff>72117</xdr:rowOff>
    </xdr:from>
    <xdr:to>
      <xdr:col>18</xdr:col>
      <xdr:colOff>476250</xdr:colOff>
      <xdr:row>40</xdr:row>
      <xdr:rowOff>27214</xdr:rowOff>
    </xdr:to>
    <mc:AlternateContent xmlns:mc="http://schemas.openxmlformats.org/markup-compatibility/2006">
      <mc:Choice xmlns:cx2="http://schemas.microsoft.com/office/drawing/2015/10/21/chartex" Requires="cx2">
        <xdr:graphicFrame macro="">
          <xdr:nvGraphicFramePr>
            <xdr:cNvPr id="74" name="Chart 73">
              <a:extLst>
                <a:ext uri="{FF2B5EF4-FFF2-40B4-BE49-F238E27FC236}">
                  <a16:creationId xmlns:a16="http://schemas.microsoft.com/office/drawing/2014/main" id="{E1DEE3AD-4D46-4D46-82AC-E7B2BE12DA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130393" y="5406117"/>
              <a:ext cx="3102428" cy="22410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193220</xdr:colOff>
      <xdr:row>30</xdr:row>
      <xdr:rowOff>13607</xdr:rowOff>
    </xdr:from>
    <xdr:to>
      <xdr:col>23</xdr:col>
      <xdr:colOff>326571</xdr:colOff>
      <xdr:row>36</xdr:row>
      <xdr:rowOff>81643</xdr:rowOff>
    </xdr:to>
    <mc:AlternateContent xmlns:mc="http://schemas.openxmlformats.org/markup-compatibility/2006">
      <mc:Choice xmlns:a14="http://schemas.microsoft.com/office/drawing/2010/main" Requires="a14">
        <xdr:graphicFrame macro="">
          <xdr:nvGraphicFramePr>
            <xdr:cNvPr id="75" name="Department 1">
              <a:extLst>
                <a:ext uri="{FF2B5EF4-FFF2-40B4-BE49-F238E27FC236}">
                  <a16:creationId xmlns:a16="http://schemas.microsoft.com/office/drawing/2014/main" id="{6E032842-2E8B-46E8-95B1-0D71FB60C66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861595" y="5728607"/>
              <a:ext cx="1435101" cy="1211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85724</xdr:colOff>
      <xdr:row>30</xdr:row>
      <xdr:rowOff>0</xdr:rowOff>
    </xdr:from>
    <xdr:to>
      <xdr:col>21</xdr:col>
      <xdr:colOff>226573</xdr:colOff>
      <xdr:row>40</xdr:row>
      <xdr:rowOff>13607</xdr:rowOff>
    </xdr:to>
    <mc:AlternateContent xmlns:mc="http://schemas.openxmlformats.org/markup-compatibility/2006">
      <mc:Choice xmlns:a14="http://schemas.microsoft.com/office/drawing/2010/main" Requires="a14">
        <xdr:graphicFrame macro="">
          <xdr:nvGraphicFramePr>
            <xdr:cNvPr id="76" name="Education Field 3">
              <a:extLst>
                <a:ext uri="{FF2B5EF4-FFF2-40B4-BE49-F238E27FC236}">
                  <a16:creationId xmlns:a16="http://schemas.microsoft.com/office/drawing/2014/main" id="{6864F5B0-EEAF-4C9A-826D-B61E12235A91}"/>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2452349" y="5715000"/>
              <a:ext cx="1442599" cy="1918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653142</xdr:colOff>
      <xdr:row>28</xdr:row>
      <xdr:rowOff>108856</xdr:rowOff>
    </xdr:from>
    <xdr:to>
      <xdr:col>21</xdr:col>
      <xdr:colOff>176892</xdr:colOff>
      <xdr:row>29</xdr:row>
      <xdr:rowOff>176892</xdr:rowOff>
    </xdr:to>
    <xdr:sp macro="" textlink="">
      <xdr:nvSpPr>
        <xdr:cNvPr id="21" name="TextBox 20">
          <a:extLst>
            <a:ext uri="{FF2B5EF4-FFF2-40B4-BE49-F238E27FC236}">
              <a16:creationId xmlns:a16="http://schemas.microsoft.com/office/drawing/2014/main" id="{A61F8103-2CAD-46AC-8BCA-BA82A35D8260}"/>
            </a:ext>
          </a:extLst>
        </xdr:cNvPr>
        <xdr:cNvSpPr txBox="1"/>
      </xdr:nvSpPr>
      <xdr:spPr>
        <a:xfrm>
          <a:off x="12409713" y="5442856"/>
          <a:ext cx="1483179"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Lato Black" panose="020F0A02020204030203" pitchFamily="34" charset="0"/>
            </a:rPr>
            <a:t>Educational Field</a:t>
          </a:r>
        </a:p>
      </xdr:txBody>
    </xdr:sp>
    <xdr:clientData/>
  </xdr:twoCellAnchor>
  <xdr:twoCellAnchor>
    <xdr:from>
      <xdr:col>21</xdr:col>
      <xdr:colOff>202407</xdr:colOff>
      <xdr:row>28</xdr:row>
      <xdr:rowOff>112938</xdr:rowOff>
    </xdr:from>
    <xdr:to>
      <xdr:col>23</xdr:col>
      <xdr:colOff>388825</xdr:colOff>
      <xdr:row>29</xdr:row>
      <xdr:rowOff>180974</xdr:rowOff>
    </xdr:to>
    <xdr:sp macro="" textlink="">
      <xdr:nvSpPr>
        <xdr:cNvPr id="78" name="TextBox 77">
          <a:extLst>
            <a:ext uri="{FF2B5EF4-FFF2-40B4-BE49-F238E27FC236}">
              <a16:creationId xmlns:a16="http://schemas.microsoft.com/office/drawing/2014/main" id="{41F0B76F-5FE3-43C8-B8DC-75F055773EF5}"/>
            </a:ext>
          </a:extLst>
        </xdr:cNvPr>
        <xdr:cNvSpPr txBox="1"/>
      </xdr:nvSpPr>
      <xdr:spPr>
        <a:xfrm>
          <a:off x="13918407" y="5446938"/>
          <a:ext cx="1492704"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Lato Black" panose="020F0A02020204030203" pitchFamily="34" charset="0"/>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374.261738310182" createdVersion="6" refreshedVersion="6" minRefreshableVersion="3" recordCount="1470" xr:uid="{B4B62FE4-C7F3-4D7D-90A4-0E370E90BDEB}">
  <cacheSource type="worksheet">
    <worksheetSource name="Hr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89351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84DF9-1ECC-45F4-BC49-3CFCE85CDACF}" name="KPI" cacheId="1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C4" firstHeaderRow="0" firstDataRow="1" firstDataCol="0"/>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
  </colFields>
  <colItems count="3">
    <i>
      <x/>
    </i>
    <i i="1">
      <x v="1"/>
    </i>
    <i i="2">
      <x v="2"/>
    </i>
  </colItems>
  <dataFields count="3">
    <dataField name="Count of Employee Number" fld="7" subtotal="count" baseField="0" baseItem="696924467"/>
    <dataField name="Average of Age" fld="16" subtotal="average" baseField="0" baseItem="1"/>
    <dataField name="Sum of CF_attrition count" fld="17"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F040E-4C00-4027-BB55-BA26D92243B0}" name="Rating" cacheId="1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A4" firstHeaderRow="1" firstDataRow="1" firstDataCol="0"/>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Job Satisfaction" fld="29" subtotal="average" baseField="0" baseItem="696924467" numFmtId="170"/>
  </dataFields>
  <formats count="1">
    <format dxfId="17">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FE86A1-0AAB-442C-8D04-AAFF3B712411}" name="Gender"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C8F679-9C4C-4468-8515-B88F1ABE076E}" name="EducationByAttrition" cacheId="14"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3">
  <location ref="A3:B9" firstHeaderRow="1" firstDataRow="1" firstDataCol="1"/>
  <pivotFields count="44">
    <pivotField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axis="axisRow" compact="0"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DA0BCE-FC9A-4A90-97F4-83FECA59D4BA}" name="AttritionByJob" cacheId="14"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A3:B13" firstHeaderRow="1" firstDataRow="1" firstDataCol="1"/>
  <pivotFields count="44">
    <pivotField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axis="axisRow" compact="0" showAll="0">
      <items count="10">
        <item x="4"/>
        <item x="8"/>
        <item x="2"/>
        <item x="5"/>
        <item x="3"/>
        <item x="7"/>
        <item x="1"/>
        <item x="0"/>
        <item x="6"/>
        <item t="default"/>
      </items>
    </pivotField>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6CB972-9C20-4092-AA52-370AE1C4E29D}" name="DepartmentWiseAttrition" cacheId="14"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3">
  <location ref="A3:B7" firstHeaderRow="1" firstDataRow="1" firstDataCol="1"/>
  <pivotFields count="44">
    <pivotField compact="0" showAll="0"/>
    <pivotField compact="0" showAll="0"/>
    <pivotField compact="0" showAll="0"/>
    <pivotField compact="0" showAll="0"/>
    <pivotField axis="axisRow"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542633-7CE9-4155-8C1A-8AEB3E1DB8A1}" name="AttritionByAgeGroup" cacheId="14"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3">
  <location ref="A3:B9" firstHeaderRow="1" firstDataRow="1" firstDataCol="1"/>
  <pivotFields count="44">
    <pivotField compact="0" showAll="0"/>
    <pivotField compact="0" showAll="0"/>
    <pivotField axis="axisRow" compact="0"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434CC4-4E39-4243-A1DC-5BE1EC02ADA9}" name="AttritionByMaritalStatus" cacheId="14"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location ref="A3:B7" firstHeaderRow="1" firstDataRow="1" firstDataCol="1"/>
  <pivotFields count="44">
    <pivotField dataField="1"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axis="axisRow" compact="0" showAll="0" sortType="ascending">
      <items count="4">
        <item x="2"/>
        <item x="1"/>
        <item x="0"/>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D9564DC-0683-44DD-B581-F68F92DA5DA3}" sourceName="Gender">
  <pivotTables>
    <pivotTable tabId="9" name="Gender"/>
    <pivotTable tabId="13" name="AttritionByAgeGroup"/>
    <pivotTable tabId="11" name="AttritionByJob"/>
    <pivotTable tabId="14" name="AttritionByMaritalStatus"/>
    <pivotTable tabId="12" name="DepartmentWiseAttrition"/>
    <pivotTable tabId="10" name="EducationByAttrition"/>
    <pivotTable tabId="7" name="KPI"/>
    <pivotTable tabId="8" name="Rating"/>
  </pivotTables>
  <data>
    <tabular pivotCacheId="16893516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DEE5158-D9FE-44EB-8B1F-0A4EA30C7F24}" sourceName="Department">
  <pivotTables>
    <pivotTable tabId="14" name="AttritionByMaritalStatus"/>
    <pivotTable tabId="13" name="AttritionByAgeGroup"/>
    <pivotTable tabId="11" name="AttritionByJob"/>
    <pivotTable tabId="12" name="DepartmentWiseAttrition"/>
    <pivotTable tabId="10" name="EducationByAttrition"/>
    <pivotTable tabId="9" name="Gender"/>
    <pivotTable tabId="7" name="KPI"/>
    <pivotTable tabId="8" name="Rating"/>
  </pivotTables>
  <data>
    <tabular pivotCacheId="16893516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48282AD-BEE3-43A9-A94E-16123066F75F}" sourceName="Education Field">
  <pivotTables>
    <pivotTable tabId="14" name="AttritionByMaritalStatus"/>
    <pivotTable tabId="13" name="AttritionByAgeGroup"/>
    <pivotTable tabId="11" name="AttritionByJob"/>
    <pivotTable tabId="12" name="DepartmentWiseAttrition"/>
    <pivotTable tabId="10" name="EducationByAttrition"/>
    <pivotTable tabId="9" name="Gender"/>
    <pivotTable tabId="7" name="KPI"/>
    <pivotTable tabId="8" name="Rating"/>
  </pivotTables>
  <data>
    <tabular pivotCacheId="168935160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75C1BF7-A521-44C5-8515-30333658CE19}" cache="Slicer_Gender1" caption="Gender" rowHeight="257175"/>
  <slicer name="Education Field" xr10:uid="{357F22C2-ECCE-4709-813E-D54B0BAF0F9F}" cache="Slicer_Education_Field2"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DB440A4-BEB6-4637-A11F-CDD4042DAB34}" cache="Slicer_Gender1" caption="Gender" rowHeight="257175"/>
  <slicer name="Education Field 1" xr10:uid="{3BE60769-832E-47D4-A7DA-7DE326E7F840}"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552A78E-6336-474D-9409-B5429503D1EB}" cache="Slicer_Department" caption="Department" rowHeight="257175"/>
  <slicer name="Education Field 2" xr10:uid="{614ACEBA-CE67-42BE-8172-AA41497716E9}"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09B4DCF-D10D-43B6-B1D3-9BAFCBD89285}" cache="Slicer_Gender1" caption="Gender" columnCount="2" style="Slicer" rowHeight="257175"/>
  <slicer name="Department 1" xr10:uid="{8E1C5E80-4B99-4481-939A-BA946CBE44DD}" cache="Slicer_Department" style="Slicer" rowHeight="257175"/>
  <slicer name="Education Field 3" xr10:uid="{86CCFF07-645A-44B9-8F00-637A78DEC8A4}" cache="Slicer_Education_Field2" startItem="1" style="Slic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Data" displayName="HrData"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B4AA-95A2-4AAE-B7D2-B6E5D448E21C}">
  <dimension ref="A3:E8"/>
  <sheetViews>
    <sheetView workbookViewId="0">
      <selection activeCell="H3" sqref="H3"/>
    </sheetView>
  </sheetViews>
  <sheetFormatPr defaultRowHeight="15.75" x14ac:dyDescent="0.25"/>
  <cols>
    <col min="1" max="1" width="23.375" bestFit="1" customWidth="1"/>
    <col min="2" max="2" width="13.375" bestFit="1" customWidth="1"/>
    <col min="3" max="3" width="21.75" bestFit="1" customWidth="1"/>
    <col min="4" max="4" width="14.375" bestFit="1" customWidth="1"/>
  </cols>
  <sheetData>
    <row r="3" spans="1:5" x14ac:dyDescent="0.25">
      <c r="A3" t="s">
        <v>1554</v>
      </c>
      <c r="B3" t="s">
        <v>1556</v>
      </c>
      <c r="C3" t="s">
        <v>1555</v>
      </c>
    </row>
    <row r="4" spans="1:5" x14ac:dyDescent="0.25">
      <c r="A4" s="2">
        <v>1470</v>
      </c>
      <c r="B4" s="2">
        <v>36.923809523809524</v>
      </c>
      <c r="C4" s="2">
        <v>237</v>
      </c>
    </row>
    <row r="7" spans="1:5" x14ac:dyDescent="0.25">
      <c r="A7" t="s">
        <v>1557</v>
      </c>
      <c r="B7" t="s">
        <v>1559</v>
      </c>
      <c r="C7" t="s">
        <v>1558</v>
      </c>
      <c r="D7" t="s">
        <v>1560</v>
      </c>
      <c r="E7" t="s">
        <v>1561</v>
      </c>
    </row>
    <row r="8" spans="1:5" x14ac:dyDescent="0.25">
      <c r="A8">
        <f>GETPIVOTDATA("Count of Employee Number",$A$3)</f>
        <v>1470</v>
      </c>
      <c r="B8" s="4">
        <f>GETPIVOTDATA("Average of Age",$A$3)</f>
        <v>36.923809523809524</v>
      </c>
      <c r="C8">
        <f>GETPIVOTDATA("Sum of CF_attrition count",$A$3)</f>
        <v>237</v>
      </c>
      <c r="D8">
        <f>A8-C8</f>
        <v>1233</v>
      </c>
      <c r="E8" s="3">
        <f>C8/A8</f>
        <v>0.16122448979591836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E60B-E282-4DDD-98D6-BEF9C87A06E3}">
  <dimension ref="A3:C8"/>
  <sheetViews>
    <sheetView workbookViewId="0">
      <selection activeCell="G10" sqref="G10"/>
    </sheetView>
  </sheetViews>
  <sheetFormatPr defaultRowHeight="15.75" x14ac:dyDescent="0.25"/>
  <cols>
    <col min="1" max="1" width="24.375" bestFit="1" customWidth="1"/>
  </cols>
  <sheetData>
    <row r="3" spans="1:3" x14ac:dyDescent="0.25">
      <c r="A3" t="s">
        <v>1562</v>
      </c>
    </row>
    <row r="4" spans="1:3" x14ac:dyDescent="0.25">
      <c r="A4" s="7">
        <v>2.6265306122448981</v>
      </c>
    </row>
    <row r="7" spans="1:3" x14ac:dyDescent="0.25">
      <c r="A7" s="8" t="s">
        <v>1563</v>
      </c>
      <c r="B7" s="7">
        <f>GETPIVOTDATA("Job Satisfaction",$A$3)</f>
        <v>2.6265306122448981</v>
      </c>
      <c r="C7">
        <f>B7/4</f>
        <v>0.65663265306122454</v>
      </c>
    </row>
    <row r="8" spans="1:3" x14ac:dyDescent="0.25">
      <c r="A8" s="8" t="s">
        <v>1564</v>
      </c>
      <c r="B8" s="7">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11E7A-6310-48F0-997E-D0BC08C4BAD5}">
  <dimension ref="A3:C10"/>
  <sheetViews>
    <sheetView workbookViewId="0">
      <selection activeCell="E12" sqref="E12"/>
    </sheetView>
  </sheetViews>
  <sheetFormatPr defaultRowHeight="15.75" x14ac:dyDescent="0.25"/>
  <cols>
    <col min="1" max="1" width="12.375" bestFit="1" customWidth="1"/>
    <col min="2" max="2" width="23.125" bestFit="1" customWidth="1"/>
  </cols>
  <sheetData>
    <row r="3" spans="1:3" x14ac:dyDescent="0.25">
      <c r="A3" s="9" t="s">
        <v>1565</v>
      </c>
      <c r="B3" t="s">
        <v>1567</v>
      </c>
    </row>
    <row r="4" spans="1:3" x14ac:dyDescent="0.25">
      <c r="A4" s="10" t="s">
        <v>51</v>
      </c>
      <c r="B4" s="2">
        <v>588</v>
      </c>
    </row>
    <row r="5" spans="1:3" x14ac:dyDescent="0.25">
      <c r="A5" s="10" t="s">
        <v>62</v>
      </c>
      <c r="B5" s="2">
        <v>882</v>
      </c>
    </row>
    <row r="6" spans="1:3" x14ac:dyDescent="0.25">
      <c r="A6" s="10" t="s">
        <v>1566</v>
      </c>
      <c r="B6" s="2">
        <v>1470</v>
      </c>
    </row>
    <row r="9" spans="1:3" x14ac:dyDescent="0.25">
      <c r="A9" s="11" t="s">
        <v>51</v>
      </c>
      <c r="B9">
        <f>IFERROR(GETPIVOTDATA("Employee Count",$A$3,"Gender","Female"),0)</f>
        <v>588</v>
      </c>
      <c r="C9" s="12">
        <f>IFERROR(B9/($B$9+$B$10),0)</f>
        <v>0.4</v>
      </c>
    </row>
    <row r="10" spans="1:3" x14ac:dyDescent="0.25">
      <c r="A10" s="11" t="s">
        <v>62</v>
      </c>
      <c r="B10">
        <f>IFERROR(GETPIVOTDATA("Employee Count",$A$3,"Gender","Male"),0)</f>
        <v>882</v>
      </c>
      <c r="C10" s="12">
        <f>IFERROR(B10/($B$10+$B$9),0)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7C01-0D73-409E-9B8B-18A0916111AA}">
  <dimension ref="A3:B9"/>
  <sheetViews>
    <sheetView workbookViewId="0">
      <selection activeCell="J7" sqref="J7"/>
    </sheetView>
  </sheetViews>
  <sheetFormatPr defaultRowHeight="15.75" x14ac:dyDescent="0.25"/>
  <cols>
    <col min="1" max="1" width="16.125" bestFit="1" customWidth="1"/>
    <col min="2" max="2" width="23.375" bestFit="1" customWidth="1"/>
  </cols>
  <sheetData>
    <row r="3" spans="1:2" x14ac:dyDescent="0.25">
      <c r="A3" s="9" t="s">
        <v>23</v>
      </c>
      <c r="B3" t="s">
        <v>1555</v>
      </c>
    </row>
    <row r="4" spans="1:2" x14ac:dyDescent="0.25">
      <c r="A4" t="s">
        <v>134</v>
      </c>
      <c r="B4" s="2">
        <v>5</v>
      </c>
    </row>
    <row r="5" spans="1:2" x14ac:dyDescent="0.25">
      <c r="A5" t="s">
        <v>65</v>
      </c>
      <c r="B5" s="2">
        <v>31</v>
      </c>
    </row>
    <row r="6" spans="1:2" x14ac:dyDescent="0.25">
      <c r="A6" t="s">
        <v>55</v>
      </c>
      <c r="B6" s="2">
        <v>44</v>
      </c>
    </row>
    <row r="7" spans="1:2" x14ac:dyDescent="0.25">
      <c r="A7" t="s">
        <v>71</v>
      </c>
      <c r="B7" s="2">
        <v>58</v>
      </c>
    </row>
    <row r="8" spans="1:2" x14ac:dyDescent="0.25">
      <c r="A8" t="s">
        <v>77</v>
      </c>
      <c r="B8" s="2">
        <v>99</v>
      </c>
    </row>
    <row r="9" spans="1:2" x14ac:dyDescent="0.25">
      <c r="A9" t="s">
        <v>1566</v>
      </c>
      <c r="B9" s="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334E-AB95-494E-BB2B-8F222C928375}">
  <dimension ref="A3:E13"/>
  <sheetViews>
    <sheetView topLeftCell="A2" workbookViewId="0">
      <selection activeCell="D19" sqref="D19"/>
    </sheetView>
  </sheetViews>
  <sheetFormatPr defaultRowHeight="15.75" x14ac:dyDescent="0.25"/>
  <cols>
    <col min="1" max="1" width="22.875" bestFit="1" customWidth="1"/>
    <col min="2" max="2" width="23.375" bestFit="1" customWidth="1"/>
    <col min="4" max="4" width="22.875" bestFit="1" customWidth="1"/>
  </cols>
  <sheetData>
    <row r="3" spans="1:5" x14ac:dyDescent="0.25">
      <c r="A3" s="9" t="s">
        <v>9</v>
      </c>
      <c r="B3" t="s">
        <v>1555</v>
      </c>
      <c r="D3" s="8" t="s">
        <v>9</v>
      </c>
      <c r="E3" s="8" t="s">
        <v>0</v>
      </c>
    </row>
    <row r="4" spans="1:5" x14ac:dyDescent="0.25">
      <c r="A4" t="s">
        <v>83</v>
      </c>
      <c r="B4" s="2">
        <v>9</v>
      </c>
      <c r="D4" t="str">
        <f>A4</f>
        <v>Healthcare Representative</v>
      </c>
      <c r="E4">
        <f>GETPIVOTDATA("CF_attrition count",$A$3,"Job Role",A4)</f>
        <v>9</v>
      </c>
    </row>
    <row r="5" spans="1:5" x14ac:dyDescent="0.25">
      <c r="A5" t="s">
        <v>163</v>
      </c>
      <c r="B5" s="2">
        <v>12</v>
      </c>
      <c r="D5" t="str">
        <f t="shared" ref="D5:D12" si="0">A5</f>
        <v>Human Resources</v>
      </c>
      <c r="E5">
        <f t="shared" ref="E5:E12" si="1">GETPIVOTDATA("CF_attrition count",$A$3,"Job Role",A5)</f>
        <v>12</v>
      </c>
    </row>
    <row r="6" spans="1:5" x14ac:dyDescent="0.25">
      <c r="A6" t="s">
        <v>68</v>
      </c>
      <c r="B6" s="2">
        <v>62</v>
      </c>
      <c r="D6" t="str">
        <f t="shared" si="0"/>
        <v>Laboratory Technician</v>
      </c>
      <c r="E6">
        <f t="shared" si="1"/>
        <v>62</v>
      </c>
    </row>
    <row r="7" spans="1:5" x14ac:dyDescent="0.25">
      <c r="A7" t="s">
        <v>95</v>
      </c>
      <c r="B7" s="2">
        <v>5</v>
      </c>
      <c r="D7" t="str">
        <f t="shared" si="0"/>
        <v>Manager</v>
      </c>
      <c r="E7">
        <f t="shared" si="1"/>
        <v>5</v>
      </c>
    </row>
    <row r="8" spans="1:5" x14ac:dyDescent="0.25">
      <c r="A8" t="s">
        <v>81</v>
      </c>
      <c r="B8" s="2">
        <v>10</v>
      </c>
      <c r="D8" t="str">
        <f t="shared" si="0"/>
        <v>Manufacturing Director</v>
      </c>
      <c r="E8">
        <f t="shared" si="1"/>
        <v>10</v>
      </c>
    </row>
    <row r="9" spans="1:5" x14ac:dyDescent="0.25">
      <c r="A9" t="s">
        <v>101</v>
      </c>
      <c r="B9" s="2">
        <v>2</v>
      </c>
      <c r="D9" t="str">
        <f t="shared" si="0"/>
        <v>Research Director</v>
      </c>
      <c r="E9">
        <f t="shared" si="1"/>
        <v>2</v>
      </c>
    </row>
    <row r="10" spans="1:5" x14ac:dyDescent="0.25">
      <c r="A10" t="s">
        <v>63</v>
      </c>
      <c r="B10" s="2">
        <v>47</v>
      </c>
      <c r="D10" t="str">
        <f t="shared" si="0"/>
        <v>Research Scientist</v>
      </c>
      <c r="E10">
        <f t="shared" si="1"/>
        <v>47</v>
      </c>
    </row>
    <row r="11" spans="1:5" x14ac:dyDescent="0.25">
      <c r="A11" t="s">
        <v>52</v>
      </c>
      <c r="B11" s="2">
        <v>57</v>
      </c>
      <c r="D11" t="str">
        <f t="shared" si="0"/>
        <v>Sales Executive</v>
      </c>
      <c r="E11">
        <f t="shared" si="1"/>
        <v>57</v>
      </c>
    </row>
    <row r="12" spans="1:5" x14ac:dyDescent="0.25">
      <c r="A12" t="s">
        <v>99</v>
      </c>
      <c r="B12" s="2">
        <v>33</v>
      </c>
      <c r="D12" t="str">
        <f t="shared" si="0"/>
        <v>Sales Representative</v>
      </c>
      <c r="E12">
        <f t="shared" si="1"/>
        <v>33</v>
      </c>
    </row>
    <row r="13" spans="1:5" x14ac:dyDescent="0.25">
      <c r="A13" t="s">
        <v>1566</v>
      </c>
      <c r="B13" s="2">
        <v>237</v>
      </c>
    </row>
  </sheetData>
  <conditionalFormatting sqref="B4:B12">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834D-BB36-4436-8E32-26218240EF47}">
  <dimension ref="A3:B7"/>
  <sheetViews>
    <sheetView workbookViewId="0">
      <selection activeCell="G16" sqref="G16"/>
    </sheetView>
  </sheetViews>
  <sheetFormatPr defaultRowHeight="15.75" x14ac:dyDescent="0.25"/>
  <cols>
    <col min="1" max="1" width="13.25" bestFit="1" customWidth="1"/>
    <col min="2" max="2" width="23.375" bestFit="1" customWidth="1"/>
  </cols>
  <sheetData>
    <row r="3" spans="1:2" x14ac:dyDescent="0.25">
      <c r="A3" s="9" t="s">
        <v>4</v>
      </c>
      <c r="B3" t="s">
        <v>1555</v>
      </c>
    </row>
    <row r="4" spans="1:2" x14ac:dyDescent="0.25">
      <c r="A4" t="s">
        <v>161</v>
      </c>
      <c r="B4" s="14">
        <v>5.0632911392405063E-2</v>
      </c>
    </row>
    <row r="5" spans="1:2" x14ac:dyDescent="0.25">
      <c r="A5" t="s">
        <v>60</v>
      </c>
      <c r="B5" s="14">
        <v>0.56118143459915615</v>
      </c>
    </row>
    <row r="6" spans="1:2" x14ac:dyDescent="0.25">
      <c r="A6" t="s">
        <v>48</v>
      </c>
      <c r="B6" s="14">
        <v>0.3881856540084388</v>
      </c>
    </row>
    <row r="7" spans="1:2" x14ac:dyDescent="0.25">
      <c r="A7" t="s">
        <v>1566</v>
      </c>
      <c r="B7" s="1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846A2-ED6E-408A-94C4-18BE16EE2435}">
  <dimension ref="A3:B9"/>
  <sheetViews>
    <sheetView workbookViewId="0">
      <selection activeCell="E15" sqref="E15"/>
    </sheetView>
  </sheetViews>
  <sheetFormatPr defaultRowHeight="15.75" x14ac:dyDescent="0.25"/>
  <cols>
    <col min="1" max="1" width="13.625" bestFit="1" customWidth="1"/>
    <col min="2" max="2" width="23.375" bestFit="1" customWidth="1"/>
  </cols>
  <sheetData>
    <row r="3" spans="1:2" x14ac:dyDescent="0.25">
      <c r="A3" s="9" t="s">
        <v>2</v>
      </c>
      <c r="B3" t="s">
        <v>1555</v>
      </c>
    </row>
    <row r="4" spans="1:2" x14ac:dyDescent="0.25">
      <c r="A4" t="s">
        <v>69</v>
      </c>
      <c r="B4" s="2">
        <v>112</v>
      </c>
    </row>
    <row r="5" spans="1:2" x14ac:dyDescent="0.25">
      <c r="A5" t="s">
        <v>46</v>
      </c>
      <c r="B5" s="2">
        <v>51</v>
      </c>
    </row>
    <row r="6" spans="1:2" x14ac:dyDescent="0.25">
      <c r="A6" t="s">
        <v>92</v>
      </c>
      <c r="B6" s="2">
        <v>38</v>
      </c>
    </row>
    <row r="7" spans="1:2" x14ac:dyDescent="0.25">
      <c r="A7" t="s">
        <v>58</v>
      </c>
      <c r="B7" s="2">
        <v>25</v>
      </c>
    </row>
    <row r="8" spans="1:2" x14ac:dyDescent="0.25">
      <c r="A8" t="s">
        <v>75</v>
      </c>
      <c r="B8" s="2">
        <v>11</v>
      </c>
    </row>
    <row r="9" spans="1:2" x14ac:dyDescent="0.25">
      <c r="A9" t="s">
        <v>1566</v>
      </c>
      <c r="B9" s="2">
        <v>237</v>
      </c>
    </row>
  </sheetData>
  <conditionalFormatting sqref="B4:B8">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9AA0-35EA-427F-B2B0-9DF87069F243}">
  <dimension ref="A3:E7"/>
  <sheetViews>
    <sheetView workbookViewId="0">
      <selection activeCell="B5" sqref="B5"/>
    </sheetView>
  </sheetViews>
  <sheetFormatPr defaultRowHeight="15.75" x14ac:dyDescent="0.25"/>
  <cols>
    <col min="1" max="1" width="15.125" bestFit="1" customWidth="1"/>
    <col min="2" max="2" width="16.375" bestFit="1" customWidth="1"/>
    <col min="4" max="4" width="12.75" bestFit="1" customWidth="1"/>
  </cols>
  <sheetData>
    <row r="3" spans="1:5" x14ac:dyDescent="0.25">
      <c r="A3" s="9" t="s">
        <v>10</v>
      </c>
      <c r="B3" t="s">
        <v>1568</v>
      </c>
      <c r="D3" s="8" t="s">
        <v>1569</v>
      </c>
      <c r="E3" s="8" t="s">
        <v>1570</v>
      </c>
    </row>
    <row r="4" spans="1:5" x14ac:dyDescent="0.25">
      <c r="A4" t="s">
        <v>79</v>
      </c>
      <c r="B4" s="2">
        <v>327</v>
      </c>
      <c r="D4" t="str">
        <f>A4</f>
        <v>Divorced</v>
      </c>
      <c r="E4">
        <f>GETPIVOTDATA("Attrition",$A$3,"Marital Status",A4)</f>
        <v>327</v>
      </c>
    </row>
    <row r="5" spans="1:5" x14ac:dyDescent="0.25">
      <c r="A5" t="s">
        <v>53</v>
      </c>
      <c r="B5" s="2">
        <v>470</v>
      </c>
      <c r="D5" t="str">
        <f>A5</f>
        <v>Single</v>
      </c>
      <c r="E5">
        <f>GETPIVOTDATA("Attrition",$A$3,"Marital Status",A5)</f>
        <v>470</v>
      </c>
    </row>
    <row r="6" spans="1:5" x14ac:dyDescent="0.25">
      <c r="A6" t="s">
        <v>64</v>
      </c>
      <c r="B6" s="2">
        <v>673</v>
      </c>
      <c r="D6" t="str">
        <f>A6</f>
        <v>Married</v>
      </c>
      <c r="E6">
        <f>GETPIVOTDATA("Attrition",$A$3,"Marital Status",A6)</f>
        <v>673</v>
      </c>
    </row>
    <row r="7" spans="1:5" x14ac:dyDescent="0.25">
      <c r="A7" t="s">
        <v>1566</v>
      </c>
      <c r="B7" s="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F13" sqref="F13"/>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3"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3"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6" sqref="C6"/>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F1"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22"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19"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A8"/>
  <sheetViews>
    <sheetView showGridLines="0" tabSelected="1" topLeftCell="A6" zoomScale="60" zoomScaleNormal="60" workbookViewId="0">
      <selection activeCell="AC12" sqref="AC12"/>
    </sheetView>
  </sheetViews>
  <sheetFormatPr defaultColWidth="11.25" defaultRowHeight="15" customHeight="1" x14ac:dyDescent="0.25"/>
  <cols>
    <col min="1" max="26" width="8.5" style="6" customWidth="1"/>
    <col min="27" max="16384" width="11.25" style="6"/>
  </cols>
  <sheetData>
    <row r="8" spans="27:27" ht="15" customHeight="1" x14ac:dyDescent="0.25">
      <c r="AA8" s="5"/>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dimension ref="A1:D14"/>
  <sheetViews>
    <sheetView workbookViewId="0">
      <selection activeCell="B2" sqref="B2"/>
    </sheetView>
  </sheetViews>
  <sheetFormatPr defaultRowHeight="15.75"/>
  <cols>
    <col min="1" max="1" width="30" customWidth="1"/>
    <col min="2" max="2" width="20" customWidth="1"/>
    <col min="3" max="3" width="16" customWidth="1"/>
    <col min="4" max="4" width="16" customWidth="1"/>
  </cols>
  <sheetData>
    <row r="1" spans="1:4">
      <c r="A1" t="inlineStr">
        <is>
          <t>Employee Lookup (type an Employee Number in B2)</t>
        </is>
      </c>
    </row>
    <row r="2" spans="1:4">
      <c r="A2" t="inlineStr">
        <is>
          <t>Employee Number</t>
        </is>
      </c>
      <c r="B2">
        <v>4</v>
      </c>
    </row>
    <row r="3" spans="1:4">
      <c r="A3" t="inlineStr">
        <is>
          <t>Department</t>
        </is>
      </c>
      <c r="B3" t="str">
        <f>INDEX(Data!$E$2:$E$1471,MATCH($B$2,Data!$H$2:$H$1471,0))</f>
        <v>R&amp;D</v>
      </c>
    </row>
    <row r="4" spans="1:4">
      <c r="A4" t="inlineStr">
        <is>
          <t>Job Role</t>
        </is>
      </c>
      <c r="B4" t="str">
        <f>INDEX(Data!$J$2:$J$1471,MATCH($B$2,Data!$H$2:$H$1471,0))</f>
        <v>Laboratory Technician</v>
      </c>
    </row>
    <row r="5" spans="1:4">
      <c r="A5" t="inlineStr">
        <is>
          <t>Attrition (Yes/No)</t>
        </is>
      </c>
      <c r="B5" t="str">
        <f>INDEX(Data!$A$2:$A$1471,MATCH($B$2,Data!$H$2:$H$1471,0))</f>
        <v>Yes</v>
      </c>
    </row>
    <row r="6" spans="1:4">
      <c r="A6" t="inlineStr">
        <is>
          <t>Monthly Income</t>
        </is>
      </c>
      <c r="B6">
        <f>INDEX(Data!$AE$2:$AE$1471,MATCH($B$2,Data!$H$2:$H$1471,0))</f>
        <v>2090</v>
      </c>
    </row>
    <row r="7" spans="1:4">
      <c r="A7" t="inlineStr">
        <is>
          <t>Years At Company</t>
        </is>
      </c>
      <c r="B7">
        <f>INDEX(Data!$AO$2:$AO$1471,MATCH($B$2,Data!$H$2:$H$1471,0))</f>
        <v>0</v>
      </c>
    </row>
    <row r="8" spans="1:4">
      <c r="A8" t="inlineStr">
        <is>
          <t>Dept Attrition Rate (Benchmark)</t>
        </is>
      </c>
      <c r="B8" s="14">
        <f>INDEX($D$11:$D$13,MATCH(B3,$A$11:$A$13,0))</f>
        <v>0.138397502601457</v>
      </c>
    </row>
    <row r="10" spans="1:4">
      <c r="A10" t="inlineStr">
        <is>
          <t>Department</t>
        </is>
      </c>
      <c r="B10" t="inlineStr">
        <is>
          <t>Headcount</t>
        </is>
      </c>
      <c r="C10" t="inlineStr">
        <is>
          <t>Attrition Count</t>
        </is>
      </c>
      <c r="D10" t="inlineStr">
        <is>
          <t>Attrition Rate</t>
        </is>
      </c>
    </row>
    <row r="11" spans="1:4">
      <c r="A11" t="inlineStr">
        <is>
          <t>HR</t>
        </is>
      </c>
      <c r="B11">
        <f>COUNTIF(Data!$E$2:$E$1471,A11)</f>
        <v>63</v>
      </c>
      <c r="C11">
        <f>SUMIFS(Data!$R$2:$R$1471,Data!$E$2:$E$1471,A11)</f>
        <v>12</v>
      </c>
      <c r="D11" s="14">
        <f>C11/B11</f>
        <v>0.19047619047619</v>
      </c>
    </row>
    <row r="12" spans="1:4">
      <c r="A12" t="inlineStr">
        <is>
          <t>R&amp;D</t>
        </is>
      </c>
      <c r="B12">
        <f>COUNTIF(Data!$E$2:$E$1471,A12)</f>
        <v>961</v>
      </c>
      <c r="C12">
        <f>SUMIFS(Data!$R$2:$R$1471,Data!$E$2:$E$1471,A12)</f>
        <v>133</v>
      </c>
      <c r="D12" s="14">
        <f>C12/B12</f>
        <v>0.138397502601457</v>
      </c>
    </row>
    <row r="13" spans="1:4">
      <c r="A13" t="inlineStr">
        <is>
          <t>Sales</t>
        </is>
      </c>
      <c r="B13">
        <f>COUNTIF(Data!$E$2:$E$1471,A13)</f>
        <v>446</v>
      </c>
      <c r="C13">
        <f>SUMIFS(Data!$R$2:$R$1471,Data!$E$2:$E$1471,A13)</f>
        <v>92</v>
      </c>
      <c r="D13" s="14">
        <f>C13/B13</f>
        <v>0.20627802690583</v>
      </c>
    </row>
    <row r="14" spans="1:4">
      <c r="A14" t="inlineStr">
        <is>
          <t>Grand Total</t>
        </is>
      </c>
      <c r="B14">
        <f>SUM(B11:B13)</f>
        <v>1470</v>
      </c>
      <c r="C14">
        <f>SUM(C11:C13)</f>
        <v>237</v>
      </c>
      <c r="D14" s="14">
        <f>C14/B14</f>
        <v>0.161224489795918</v>
      </c>
    </row>
  </sheetData>
  <conditionalFormatting sqref="D11:D13">
    <cfRule type="colorScale" priority="1">
      <colorScale>
        <cfvo type="min"/>
        <cfvo type="percentile" val="50"/>
        <cfvo type="max"/>
        <color rgb="FF63BE7B"/>
        <color rgb="FFFFEB84"/>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F15148-4948-45C7-AA43-2BA0097A73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EducationByAttrition</vt:lpstr>
      <vt:lpstr>AttritionByJob</vt:lpstr>
      <vt:lpstr>DepartmentWiseAttrition</vt:lpstr>
      <vt:lpstr>AttritionByAgeGroup</vt:lpstr>
      <vt:lpstr>AttritionByMaritalStatus</vt:lpstr>
      <vt:lpstr>Data</vt:lpstr>
      <vt:lpstr>Images</vt:lpstr>
      <vt:lpstr>Background 1</vt:lpstr>
      <vt:lpstr>Background 2</vt:lpstr>
      <vt:lpstr>Background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DELL</cp:lastModifiedBy>
  <dcterms:created xsi:type="dcterms:W3CDTF">2022-12-29T16:02:46Z</dcterms:created>
  <dcterms:modified xsi:type="dcterms:W3CDTF">2024-03-23T23:58:37Z</dcterms:modified>
</cp:coreProperties>
</file>